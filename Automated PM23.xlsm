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delo\Desktop\automated PM\"/>
    </mc:Choice>
  </mc:AlternateContent>
  <xr:revisionPtr revIDLastSave="0" documentId="13_ncr:1_{0311DD0D-B5F2-4F61-B89B-711114F63700}" xr6:coauthVersionLast="47" xr6:coauthVersionMax="47" xr10:uidLastSave="{00000000-0000-0000-0000-000000000000}"/>
  <bookViews>
    <workbookView xWindow="-108" yWindow="-108" windowWidth="23256" windowHeight="12576" firstSheet="2" activeTab="2" xr2:uid="{FBF9A9D5-2F83-4727-BAE3-DEEB789DBDB5}"/>
  </bookViews>
  <sheets>
    <sheet name="health" sheetId="5" state="hidden" r:id="rId1"/>
    <sheet name="data" sheetId="2" state="hidden" r:id="rId2"/>
    <sheet name="UserInterface" sheetId="3" r:id="rId3"/>
    <sheet name="Allitems" sheetId="4" r:id="rId4"/>
  </sheets>
  <definedNames>
    <definedName name="_xlnm._FilterDatabase" localSheetId="3" hidden="1">Allitems!$A$3:$FR$3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212" i="4" l="1"/>
  <c r="Q1213" i="4"/>
  <c r="Q1214" i="4"/>
  <c r="Q1215" i="4"/>
  <c r="Q1216" i="4"/>
  <c r="Q1217" i="4"/>
  <c r="Q1218" i="4"/>
  <c r="Q1219" i="4"/>
  <c r="Q1220" i="4"/>
  <c r="M1212" i="4"/>
  <c r="L1212" i="4" s="1"/>
  <c r="M1213" i="4"/>
  <c r="L1213" i="4" s="1"/>
  <c r="M1214" i="4"/>
  <c r="L1214" i="4" s="1"/>
  <c r="M1215" i="4"/>
  <c r="L1215" i="4" s="1"/>
  <c r="M1216" i="4"/>
  <c r="L1216" i="4" s="1"/>
  <c r="M1217" i="4"/>
  <c r="L1217" i="4" s="1"/>
  <c r="M1218" i="4"/>
  <c r="L1218" i="4" s="1"/>
  <c r="M1219" i="4"/>
  <c r="L1219" i="4" s="1"/>
  <c r="M1220" i="4"/>
  <c r="L1220" i="4" s="1"/>
  <c r="Q1205" i="4" l="1"/>
  <c r="Q1206" i="4"/>
  <c r="Q1207" i="4"/>
  <c r="Q1208" i="4"/>
  <c r="Q1209" i="4"/>
  <c r="Q1210" i="4"/>
  <c r="Q1211" i="4"/>
  <c r="M1205" i="4"/>
  <c r="L1205" i="4" s="1"/>
  <c r="M1206" i="4"/>
  <c r="L1206" i="4" s="1"/>
  <c r="M1207" i="4"/>
  <c r="L1207" i="4" s="1"/>
  <c r="M1208" i="4"/>
  <c r="L1208" i="4" s="1"/>
  <c r="M1209" i="4"/>
  <c r="L1209" i="4" s="1"/>
  <c r="M1210" i="4"/>
  <c r="L1210" i="4" s="1"/>
  <c r="M1211" i="4"/>
  <c r="L1211" i="4" s="1"/>
  <c r="M56" i="4"/>
  <c r="L56" i="4" s="1"/>
  <c r="M57" i="4"/>
  <c r="L57" i="4" s="1"/>
  <c r="M58" i="4"/>
  <c r="L58" i="4" s="1"/>
  <c r="M59" i="4"/>
  <c r="L59" i="4" s="1"/>
  <c r="M60" i="4"/>
  <c r="L60" i="4" s="1"/>
  <c r="M61" i="4"/>
  <c r="L61" i="4" s="1"/>
  <c r="M62" i="4"/>
  <c r="L62" i="4" s="1"/>
  <c r="M63" i="4"/>
  <c r="L63" i="4" s="1"/>
  <c r="M64" i="4"/>
  <c r="L64" i="4" s="1"/>
  <c r="M65" i="4"/>
  <c r="L65" i="4" s="1"/>
  <c r="M66" i="4"/>
  <c r="L66" i="4" s="1"/>
  <c r="M67" i="4"/>
  <c r="L67" i="4" s="1"/>
  <c r="M68" i="4"/>
  <c r="L68" i="4" s="1"/>
  <c r="M69" i="4"/>
  <c r="L69" i="4" s="1"/>
  <c r="M70" i="4"/>
  <c r="L70" i="4" s="1"/>
  <c r="M71" i="4"/>
  <c r="L71" i="4" s="1"/>
  <c r="M72" i="4"/>
  <c r="M73" i="4"/>
  <c r="L73" i="4" s="1"/>
  <c r="M74" i="4"/>
  <c r="L74" i="4" s="1"/>
  <c r="M75" i="4"/>
  <c r="L75" i="4" s="1"/>
  <c r="M76" i="4"/>
  <c r="L76" i="4" s="1"/>
  <c r="M77" i="4"/>
  <c r="L77" i="4" s="1"/>
  <c r="M78" i="4"/>
  <c r="L78" i="4" s="1"/>
  <c r="M79" i="4"/>
  <c r="L79" i="4" s="1"/>
  <c r="M80" i="4"/>
  <c r="L80" i="4" s="1"/>
  <c r="M81" i="4"/>
  <c r="L81" i="4" s="1"/>
  <c r="M82" i="4"/>
  <c r="L82" i="4" s="1"/>
  <c r="M83" i="4"/>
  <c r="L83" i="4" s="1"/>
  <c r="M84" i="4"/>
  <c r="L84" i="4" s="1"/>
  <c r="M85" i="4"/>
  <c r="L85" i="4" s="1"/>
  <c r="M86" i="4"/>
  <c r="L86" i="4" s="1"/>
  <c r="M87" i="4"/>
  <c r="L87" i="4" s="1"/>
  <c r="M88" i="4"/>
  <c r="L88" i="4" s="1"/>
  <c r="M89" i="4"/>
  <c r="L89" i="4" s="1"/>
  <c r="M90" i="4"/>
  <c r="L90" i="4" s="1"/>
  <c r="M91" i="4"/>
  <c r="L91" i="4" s="1"/>
  <c r="M92" i="4"/>
  <c r="L92" i="4" s="1"/>
  <c r="M93" i="4"/>
  <c r="L93" i="4" s="1"/>
  <c r="M94" i="4"/>
  <c r="L94" i="4" s="1"/>
  <c r="M95" i="4"/>
  <c r="L95" i="4" s="1"/>
  <c r="M96" i="4"/>
  <c r="L96" i="4" s="1"/>
  <c r="M97" i="4"/>
  <c r="L97" i="4" s="1"/>
  <c r="M98" i="4"/>
  <c r="L98" i="4" s="1"/>
  <c r="M99" i="4"/>
  <c r="L99" i="4" s="1"/>
  <c r="M100" i="4"/>
  <c r="L100" i="4" s="1"/>
  <c r="M101" i="4"/>
  <c r="L101" i="4" s="1"/>
  <c r="M102" i="4"/>
  <c r="L102" i="4" s="1"/>
  <c r="M103" i="4"/>
  <c r="L103" i="4" s="1"/>
  <c r="M104" i="4"/>
  <c r="L104" i="4" s="1"/>
  <c r="M105" i="4"/>
  <c r="L105" i="4" s="1"/>
  <c r="M106" i="4"/>
  <c r="L106" i="4" s="1"/>
  <c r="M107" i="4"/>
  <c r="L107" i="4" s="1"/>
  <c r="M108" i="4"/>
  <c r="L108" i="4" s="1"/>
  <c r="M109" i="4"/>
  <c r="L109" i="4" s="1"/>
  <c r="M110" i="4"/>
  <c r="L110" i="4" s="1"/>
  <c r="M111" i="4"/>
  <c r="L111" i="4" s="1"/>
  <c r="M112" i="4"/>
  <c r="L112" i="4" s="1"/>
  <c r="M113" i="4"/>
  <c r="L113" i="4" s="1"/>
  <c r="M114" i="4"/>
  <c r="L114" i="4" s="1"/>
  <c r="M115" i="4"/>
  <c r="L115" i="4" s="1"/>
  <c r="M116" i="4"/>
  <c r="L116" i="4" s="1"/>
  <c r="M117" i="4"/>
  <c r="L117" i="4" s="1"/>
  <c r="M118" i="4"/>
  <c r="L118" i="4" s="1"/>
  <c r="M119" i="4"/>
  <c r="L119" i="4" s="1"/>
  <c r="M120" i="4"/>
  <c r="L120" i="4" s="1"/>
  <c r="M121" i="4"/>
  <c r="L121" i="4" s="1"/>
  <c r="M122" i="4"/>
  <c r="L122" i="4" s="1"/>
  <c r="M123" i="4"/>
  <c r="M124" i="4"/>
  <c r="L124" i="4" s="1"/>
  <c r="M125" i="4"/>
  <c r="L125" i="4" s="1"/>
  <c r="M126" i="4"/>
  <c r="L126" i="4" s="1"/>
  <c r="M127" i="4"/>
  <c r="L127" i="4" s="1"/>
  <c r="M128" i="4"/>
  <c r="L128" i="4" s="1"/>
  <c r="M129" i="4"/>
  <c r="L129" i="4" s="1"/>
  <c r="M130" i="4"/>
  <c r="L130" i="4" s="1"/>
  <c r="M131" i="4"/>
  <c r="L131" i="4" s="1"/>
  <c r="M132" i="4"/>
  <c r="L132" i="4" s="1"/>
  <c r="M133" i="4"/>
  <c r="L133" i="4" s="1"/>
  <c r="M134" i="4"/>
  <c r="L134" i="4" s="1"/>
  <c r="M135" i="4"/>
  <c r="L135" i="4" s="1"/>
  <c r="M136" i="4"/>
  <c r="L136" i="4" s="1"/>
  <c r="M137" i="4"/>
  <c r="L137" i="4" s="1"/>
  <c r="M138" i="4"/>
  <c r="L138" i="4" s="1"/>
  <c r="M139" i="4"/>
  <c r="L139" i="4" s="1"/>
  <c r="M140" i="4"/>
  <c r="L140" i="4" s="1"/>
  <c r="M141" i="4"/>
  <c r="L141" i="4" s="1"/>
  <c r="M142" i="4"/>
  <c r="L142" i="4" s="1"/>
  <c r="M143" i="4"/>
  <c r="L143" i="4" s="1"/>
  <c r="M144" i="4"/>
  <c r="L144" i="4" s="1"/>
  <c r="M145" i="4"/>
  <c r="L145" i="4" s="1"/>
  <c r="M146" i="4"/>
  <c r="L146" i="4" s="1"/>
  <c r="M147" i="4"/>
  <c r="L147" i="4" s="1"/>
  <c r="M148" i="4"/>
  <c r="L148" i="4" s="1"/>
  <c r="M149" i="4"/>
  <c r="L149" i="4" s="1"/>
  <c r="M150" i="4"/>
  <c r="L150" i="4" s="1"/>
  <c r="M151" i="4"/>
  <c r="L151" i="4" s="1"/>
  <c r="M152" i="4"/>
  <c r="L152" i="4" s="1"/>
  <c r="M153" i="4"/>
  <c r="L153" i="4" s="1"/>
  <c r="M154" i="4"/>
  <c r="L154" i="4" s="1"/>
  <c r="M155" i="4"/>
  <c r="L155" i="4" s="1"/>
  <c r="M156" i="4"/>
  <c r="L156" i="4" s="1"/>
  <c r="M157" i="4"/>
  <c r="L157" i="4" s="1"/>
  <c r="M158" i="4"/>
  <c r="L158" i="4" s="1"/>
  <c r="M159" i="4"/>
  <c r="L159" i="4" s="1"/>
  <c r="M160" i="4"/>
  <c r="L160" i="4" s="1"/>
  <c r="M161" i="4"/>
  <c r="L161" i="4" s="1"/>
  <c r="M162" i="4"/>
  <c r="L162" i="4" s="1"/>
  <c r="M163" i="4"/>
  <c r="L163" i="4" s="1"/>
  <c r="M164" i="4"/>
  <c r="L164" i="4" s="1"/>
  <c r="M165" i="4"/>
  <c r="L165" i="4" s="1"/>
  <c r="M166" i="4"/>
  <c r="L166" i="4" s="1"/>
  <c r="M167" i="4"/>
  <c r="L167" i="4" s="1"/>
  <c r="M168" i="4"/>
  <c r="L168" i="4" s="1"/>
  <c r="M169" i="4"/>
  <c r="L169" i="4" s="1"/>
  <c r="M170" i="4"/>
  <c r="L170" i="4" s="1"/>
  <c r="M171" i="4"/>
  <c r="L171" i="4" s="1"/>
  <c r="M172" i="4"/>
  <c r="L172" i="4" s="1"/>
  <c r="M173" i="4"/>
  <c r="L173" i="4" s="1"/>
  <c r="M174" i="4"/>
  <c r="L174" i="4" s="1"/>
  <c r="M175" i="4"/>
  <c r="L175" i="4" s="1"/>
  <c r="M176" i="4"/>
  <c r="L176" i="4" s="1"/>
  <c r="M177" i="4"/>
  <c r="L177" i="4" s="1"/>
  <c r="M178" i="4"/>
  <c r="L178" i="4" s="1"/>
  <c r="M179" i="4"/>
  <c r="L179" i="4" s="1"/>
  <c r="M180" i="4"/>
  <c r="L180" i="4" s="1"/>
  <c r="M181" i="4"/>
  <c r="L181" i="4" s="1"/>
  <c r="M182" i="4"/>
  <c r="L182" i="4" s="1"/>
  <c r="M183" i="4"/>
  <c r="L183" i="4" s="1"/>
  <c r="M184" i="4"/>
  <c r="L184" i="4" s="1"/>
  <c r="M185" i="4"/>
  <c r="L185" i="4" s="1"/>
  <c r="M186" i="4"/>
  <c r="L186" i="4" s="1"/>
  <c r="M187" i="4"/>
  <c r="L187" i="4" s="1"/>
  <c r="M188" i="4"/>
  <c r="L188" i="4" s="1"/>
  <c r="M189" i="4"/>
  <c r="L189" i="4" s="1"/>
  <c r="M190" i="4"/>
  <c r="L190" i="4" s="1"/>
  <c r="M191" i="4"/>
  <c r="L191" i="4" s="1"/>
  <c r="M192" i="4"/>
  <c r="L192" i="4" s="1"/>
  <c r="M193" i="4"/>
  <c r="L193" i="4" s="1"/>
  <c r="M194" i="4"/>
  <c r="L194" i="4" s="1"/>
  <c r="M195" i="4"/>
  <c r="L195" i="4" s="1"/>
  <c r="M196" i="4"/>
  <c r="L196" i="4" s="1"/>
  <c r="M197" i="4"/>
  <c r="L197" i="4" s="1"/>
  <c r="M198" i="4"/>
  <c r="L198" i="4" s="1"/>
  <c r="M199" i="4"/>
  <c r="L199" i="4" s="1"/>
  <c r="M200" i="4"/>
  <c r="L200" i="4" s="1"/>
  <c r="M201" i="4"/>
  <c r="L201" i="4" s="1"/>
  <c r="M202" i="4"/>
  <c r="L202" i="4" s="1"/>
  <c r="M203" i="4"/>
  <c r="L203" i="4" s="1"/>
  <c r="M204" i="4"/>
  <c r="L204" i="4" s="1"/>
  <c r="M205" i="4"/>
  <c r="L205" i="4" s="1"/>
  <c r="M206" i="4"/>
  <c r="L206" i="4" s="1"/>
  <c r="M207" i="4"/>
  <c r="L207" i="4" s="1"/>
  <c r="M208" i="4"/>
  <c r="L208" i="4" s="1"/>
  <c r="M209" i="4"/>
  <c r="L209" i="4" s="1"/>
  <c r="M210" i="4"/>
  <c r="L210" i="4" s="1"/>
  <c r="M211" i="4"/>
  <c r="L211" i="4" s="1"/>
  <c r="M212" i="4"/>
  <c r="L212" i="4" s="1"/>
  <c r="M213" i="4"/>
  <c r="L213" i="4" s="1"/>
  <c r="M214" i="4"/>
  <c r="M215" i="4"/>
  <c r="L215" i="4" s="1"/>
  <c r="M216" i="4"/>
  <c r="L216" i="4" s="1"/>
  <c r="M217" i="4"/>
  <c r="L217" i="4" s="1"/>
  <c r="M218" i="4"/>
  <c r="L218" i="4" s="1"/>
  <c r="M219" i="4"/>
  <c r="L219" i="4" s="1"/>
  <c r="M220" i="4"/>
  <c r="L220" i="4" s="1"/>
  <c r="M221" i="4"/>
  <c r="L221" i="4" s="1"/>
  <c r="M222" i="4"/>
  <c r="L222" i="4" s="1"/>
  <c r="M223" i="4"/>
  <c r="L223" i="4" s="1"/>
  <c r="M224" i="4"/>
  <c r="L224" i="4" s="1"/>
  <c r="M225" i="4"/>
  <c r="L225" i="4" s="1"/>
  <c r="M226" i="4"/>
  <c r="L226" i="4" s="1"/>
  <c r="M227" i="4"/>
  <c r="L227" i="4" s="1"/>
  <c r="M228" i="4"/>
  <c r="L228" i="4" s="1"/>
  <c r="M229" i="4"/>
  <c r="L229" i="4" s="1"/>
  <c r="M230" i="4"/>
  <c r="L230" i="4" s="1"/>
  <c r="M231" i="4"/>
  <c r="L231" i="4" s="1"/>
  <c r="M232" i="4"/>
  <c r="L232" i="4" s="1"/>
  <c r="M233" i="4"/>
  <c r="L233" i="4" s="1"/>
  <c r="M234" i="4"/>
  <c r="L234" i="4" s="1"/>
  <c r="M235" i="4"/>
  <c r="L235" i="4" s="1"/>
  <c r="M236" i="4"/>
  <c r="L236" i="4" s="1"/>
  <c r="M237" i="4"/>
  <c r="L237" i="4" s="1"/>
  <c r="M238" i="4"/>
  <c r="M239" i="4"/>
  <c r="L239" i="4" s="1"/>
  <c r="M240" i="4"/>
  <c r="L240" i="4" s="1"/>
  <c r="M241" i="4"/>
  <c r="L241" i="4" s="1"/>
  <c r="M242" i="4"/>
  <c r="L242" i="4" s="1"/>
  <c r="M243" i="4"/>
  <c r="L243" i="4" s="1"/>
  <c r="M244" i="4"/>
  <c r="L244" i="4" s="1"/>
  <c r="M245" i="4"/>
  <c r="L245" i="4" s="1"/>
  <c r="M246" i="4"/>
  <c r="L246" i="4" s="1"/>
  <c r="M247" i="4"/>
  <c r="L247" i="4" s="1"/>
  <c r="M248" i="4"/>
  <c r="L248" i="4" s="1"/>
  <c r="M249" i="4"/>
  <c r="L249" i="4" s="1"/>
  <c r="M250" i="4"/>
  <c r="L250" i="4" s="1"/>
  <c r="M251" i="4"/>
  <c r="L251" i="4" s="1"/>
  <c r="M252" i="4"/>
  <c r="L252" i="4" s="1"/>
  <c r="M253" i="4"/>
  <c r="L253" i="4" s="1"/>
  <c r="M254" i="4"/>
  <c r="L254" i="4" s="1"/>
  <c r="M255" i="4"/>
  <c r="L255" i="4" s="1"/>
  <c r="M256" i="4"/>
  <c r="L256" i="4" s="1"/>
  <c r="M257" i="4"/>
  <c r="L257" i="4" s="1"/>
  <c r="M258" i="4"/>
  <c r="L258" i="4" s="1"/>
  <c r="M259" i="4"/>
  <c r="L259" i="4" s="1"/>
  <c r="M260" i="4"/>
  <c r="L260" i="4" s="1"/>
  <c r="M261" i="4"/>
  <c r="L261" i="4" s="1"/>
  <c r="M262" i="4"/>
  <c r="L262" i="4" s="1"/>
  <c r="M263" i="4"/>
  <c r="L263" i="4" s="1"/>
  <c r="M264" i="4"/>
  <c r="L264" i="4" s="1"/>
  <c r="M265" i="4"/>
  <c r="L265" i="4" s="1"/>
  <c r="M266" i="4"/>
  <c r="L266" i="4" s="1"/>
  <c r="M267" i="4"/>
  <c r="L267" i="4" s="1"/>
  <c r="M268" i="4"/>
  <c r="L268" i="4" s="1"/>
  <c r="M269" i="4"/>
  <c r="L269" i="4" s="1"/>
  <c r="M270" i="4"/>
  <c r="L270" i="4" s="1"/>
  <c r="M271" i="4"/>
  <c r="L271" i="4" s="1"/>
  <c r="M272" i="4"/>
  <c r="L272" i="4" s="1"/>
  <c r="M273" i="4"/>
  <c r="L273" i="4" s="1"/>
  <c r="M274" i="4"/>
  <c r="L274" i="4" s="1"/>
  <c r="M275" i="4"/>
  <c r="L275" i="4" s="1"/>
  <c r="M276" i="4"/>
  <c r="L276" i="4" s="1"/>
  <c r="M277" i="4"/>
  <c r="L277" i="4" s="1"/>
  <c r="M278" i="4"/>
  <c r="L278" i="4" s="1"/>
  <c r="M279" i="4"/>
  <c r="L279" i="4" s="1"/>
  <c r="M280" i="4"/>
  <c r="L280" i="4" s="1"/>
  <c r="M281" i="4"/>
  <c r="L281" i="4" s="1"/>
  <c r="M282" i="4"/>
  <c r="L282" i="4" s="1"/>
  <c r="M283" i="4"/>
  <c r="L283" i="4" s="1"/>
  <c r="M284" i="4"/>
  <c r="L284" i="4" s="1"/>
  <c r="M285" i="4"/>
  <c r="L285" i="4" s="1"/>
  <c r="M286" i="4"/>
  <c r="L286" i="4" s="1"/>
  <c r="M287" i="4"/>
  <c r="L287" i="4" s="1"/>
  <c r="M288" i="4"/>
  <c r="L288" i="4" s="1"/>
  <c r="M289" i="4"/>
  <c r="L289" i="4" s="1"/>
  <c r="M290" i="4"/>
  <c r="L290" i="4" s="1"/>
  <c r="M291" i="4"/>
  <c r="L291" i="4" s="1"/>
  <c r="M292" i="4"/>
  <c r="L292" i="4" s="1"/>
  <c r="M293" i="4"/>
  <c r="L293" i="4" s="1"/>
  <c r="M294" i="4"/>
  <c r="L294" i="4" s="1"/>
  <c r="M295" i="4"/>
  <c r="L295" i="4" s="1"/>
  <c r="M296" i="4"/>
  <c r="L296" i="4" s="1"/>
  <c r="M297" i="4"/>
  <c r="L297" i="4" s="1"/>
  <c r="M298" i="4"/>
  <c r="L298" i="4" s="1"/>
  <c r="M299" i="4"/>
  <c r="L299" i="4" s="1"/>
  <c r="M300" i="4"/>
  <c r="L300" i="4" s="1"/>
  <c r="M301" i="4"/>
  <c r="L301" i="4" s="1"/>
  <c r="M302" i="4"/>
  <c r="L302" i="4" s="1"/>
  <c r="M303" i="4"/>
  <c r="L303" i="4" s="1"/>
  <c r="M304" i="4"/>
  <c r="L304" i="4" s="1"/>
  <c r="M305" i="4"/>
  <c r="L305" i="4" s="1"/>
  <c r="M306" i="4"/>
  <c r="L306" i="4" s="1"/>
  <c r="M307" i="4"/>
  <c r="L307" i="4" s="1"/>
  <c r="M308" i="4"/>
  <c r="L308" i="4" s="1"/>
  <c r="M309" i="4"/>
  <c r="L309" i="4" s="1"/>
  <c r="M310" i="4"/>
  <c r="L310" i="4" s="1"/>
  <c r="M311" i="4"/>
  <c r="L311" i="4" s="1"/>
  <c r="M312" i="4"/>
  <c r="L312" i="4" s="1"/>
  <c r="M313" i="4"/>
  <c r="L313" i="4" s="1"/>
  <c r="M314" i="4"/>
  <c r="L314" i="4" s="1"/>
  <c r="M315" i="4"/>
  <c r="L315" i="4" s="1"/>
  <c r="M316" i="4"/>
  <c r="L316" i="4" s="1"/>
  <c r="M317" i="4"/>
  <c r="L317" i="4" s="1"/>
  <c r="M318" i="4"/>
  <c r="L318" i="4" s="1"/>
  <c r="M319" i="4"/>
  <c r="L319" i="4" s="1"/>
  <c r="M320" i="4"/>
  <c r="L320" i="4" s="1"/>
  <c r="M321" i="4"/>
  <c r="L321" i="4" s="1"/>
  <c r="M322" i="4"/>
  <c r="L322" i="4" s="1"/>
  <c r="M323" i="4"/>
  <c r="L323" i="4" s="1"/>
  <c r="M324" i="4"/>
  <c r="L324" i="4" s="1"/>
  <c r="M325" i="4"/>
  <c r="L325" i="4" s="1"/>
  <c r="M326" i="4"/>
  <c r="L326" i="4" s="1"/>
  <c r="M327" i="4"/>
  <c r="L327" i="4" s="1"/>
  <c r="M328" i="4"/>
  <c r="L328" i="4" s="1"/>
  <c r="M329" i="4"/>
  <c r="L329" i="4" s="1"/>
  <c r="M330" i="4"/>
  <c r="L330" i="4" s="1"/>
  <c r="M331" i="4"/>
  <c r="L331" i="4" s="1"/>
  <c r="M332" i="4"/>
  <c r="L332" i="4" s="1"/>
  <c r="M333" i="4"/>
  <c r="L333" i="4" s="1"/>
  <c r="M334" i="4"/>
  <c r="L334" i="4" s="1"/>
  <c r="M335" i="4"/>
  <c r="L335" i="4" s="1"/>
  <c r="M336" i="4"/>
  <c r="L336" i="4" s="1"/>
  <c r="M337" i="4"/>
  <c r="L337" i="4" s="1"/>
  <c r="M338" i="4"/>
  <c r="L338" i="4" s="1"/>
  <c r="M339" i="4"/>
  <c r="L339" i="4" s="1"/>
  <c r="M340" i="4"/>
  <c r="L340" i="4" s="1"/>
  <c r="M341" i="4"/>
  <c r="L341" i="4" s="1"/>
  <c r="M342" i="4"/>
  <c r="L342" i="4" s="1"/>
  <c r="M343" i="4"/>
  <c r="L343" i="4" s="1"/>
  <c r="M344" i="4"/>
  <c r="L344" i="4" s="1"/>
  <c r="M345" i="4"/>
  <c r="L345" i="4" s="1"/>
  <c r="M346" i="4"/>
  <c r="L346" i="4" s="1"/>
  <c r="M347" i="4"/>
  <c r="L347" i="4" s="1"/>
  <c r="M348" i="4"/>
  <c r="L348" i="4" s="1"/>
  <c r="M349" i="4"/>
  <c r="L349" i="4" s="1"/>
  <c r="M350" i="4"/>
  <c r="L350" i="4" s="1"/>
  <c r="M351" i="4"/>
  <c r="L351" i="4" s="1"/>
  <c r="M352" i="4"/>
  <c r="L352" i="4" s="1"/>
  <c r="M353" i="4"/>
  <c r="L353" i="4" s="1"/>
  <c r="M354" i="4"/>
  <c r="L354" i="4" s="1"/>
  <c r="M355" i="4"/>
  <c r="L355" i="4" s="1"/>
  <c r="M356" i="4"/>
  <c r="L356" i="4" s="1"/>
  <c r="M357" i="4"/>
  <c r="L357" i="4" s="1"/>
  <c r="M358" i="4"/>
  <c r="L358" i="4" s="1"/>
  <c r="M359" i="4"/>
  <c r="L359" i="4" s="1"/>
  <c r="M360" i="4"/>
  <c r="L360" i="4" s="1"/>
  <c r="M361" i="4"/>
  <c r="L361" i="4" s="1"/>
  <c r="M362" i="4"/>
  <c r="L362" i="4" s="1"/>
  <c r="M363" i="4"/>
  <c r="L363" i="4" s="1"/>
  <c r="M364" i="4"/>
  <c r="L364" i="4" s="1"/>
  <c r="M365" i="4"/>
  <c r="L365" i="4" s="1"/>
  <c r="M366" i="4"/>
  <c r="L366" i="4" s="1"/>
  <c r="M367" i="4"/>
  <c r="L367" i="4" s="1"/>
  <c r="M368" i="4"/>
  <c r="L368" i="4" s="1"/>
  <c r="M369" i="4"/>
  <c r="L369" i="4" s="1"/>
  <c r="M370" i="4"/>
  <c r="L370" i="4" s="1"/>
  <c r="M371" i="4"/>
  <c r="L371" i="4" s="1"/>
  <c r="M372" i="4"/>
  <c r="L372" i="4" s="1"/>
  <c r="M373" i="4"/>
  <c r="L373" i="4" s="1"/>
  <c r="M374" i="4"/>
  <c r="L374" i="4" s="1"/>
  <c r="M375" i="4"/>
  <c r="L375" i="4" s="1"/>
  <c r="M376" i="4"/>
  <c r="L376" i="4" s="1"/>
  <c r="M377" i="4"/>
  <c r="L377" i="4" s="1"/>
  <c r="M378" i="4"/>
  <c r="L378" i="4" s="1"/>
  <c r="M379" i="4"/>
  <c r="L379" i="4" s="1"/>
  <c r="M380" i="4"/>
  <c r="L380" i="4" s="1"/>
  <c r="M381" i="4"/>
  <c r="L381" i="4" s="1"/>
  <c r="M382" i="4"/>
  <c r="L382" i="4" s="1"/>
  <c r="M383" i="4"/>
  <c r="L383" i="4" s="1"/>
  <c r="M384" i="4"/>
  <c r="L384" i="4" s="1"/>
  <c r="M385" i="4"/>
  <c r="L385" i="4" s="1"/>
  <c r="M386" i="4"/>
  <c r="L386" i="4" s="1"/>
  <c r="M387" i="4"/>
  <c r="L387" i="4" s="1"/>
  <c r="M388" i="4"/>
  <c r="L388" i="4" s="1"/>
  <c r="M389" i="4"/>
  <c r="L389" i="4" s="1"/>
  <c r="M390" i="4"/>
  <c r="L390" i="4" s="1"/>
  <c r="M391" i="4"/>
  <c r="L391" i="4" s="1"/>
  <c r="M392" i="4"/>
  <c r="L392" i="4" s="1"/>
  <c r="M393" i="4"/>
  <c r="L393" i="4" s="1"/>
  <c r="M394" i="4"/>
  <c r="L394" i="4" s="1"/>
  <c r="M395" i="4"/>
  <c r="L395" i="4" s="1"/>
  <c r="M396" i="4"/>
  <c r="L396" i="4" s="1"/>
  <c r="M397" i="4"/>
  <c r="L397" i="4" s="1"/>
  <c r="M398" i="4"/>
  <c r="L398" i="4" s="1"/>
  <c r="M399" i="4"/>
  <c r="L399" i="4" s="1"/>
  <c r="M400" i="4"/>
  <c r="L400" i="4" s="1"/>
  <c r="M401" i="4"/>
  <c r="L401" i="4" s="1"/>
  <c r="M402" i="4"/>
  <c r="L402" i="4" s="1"/>
  <c r="M403" i="4"/>
  <c r="L403" i="4" s="1"/>
  <c r="M404" i="4"/>
  <c r="L404" i="4" s="1"/>
  <c r="M405" i="4"/>
  <c r="L405" i="4" s="1"/>
  <c r="M406" i="4"/>
  <c r="L406" i="4" s="1"/>
  <c r="M407" i="4"/>
  <c r="L407" i="4" s="1"/>
  <c r="M408" i="4"/>
  <c r="L408" i="4" s="1"/>
  <c r="M409" i="4"/>
  <c r="L409" i="4" s="1"/>
  <c r="M410" i="4"/>
  <c r="L410" i="4" s="1"/>
  <c r="M411" i="4"/>
  <c r="L411" i="4" s="1"/>
  <c r="M412" i="4"/>
  <c r="L412" i="4" s="1"/>
  <c r="M413" i="4"/>
  <c r="L413" i="4" s="1"/>
  <c r="M414" i="4"/>
  <c r="L414" i="4" s="1"/>
  <c r="M415" i="4"/>
  <c r="L415" i="4" s="1"/>
  <c r="M416" i="4"/>
  <c r="L416" i="4" s="1"/>
  <c r="M417" i="4"/>
  <c r="L417" i="4" s="1"/>
  <c r="M418" i="4"/>
  <c r="L418" i="4" s="1"/>
  <c r="M419" i="4"/>
  <c r="L419" i="4" s="1"/>
  <c r="M420" i="4"/>
  <c r="L420" i="4" s="1"/>
  <c r="M421" i="4"/>
  <c r="L421" i="4" s="1"/>
  <c r="M422" i="4"/>
  <c r="L422" i="4" s="1"/>
  <c r="M423" i="4"/>
  <c r="L423" i="4" s="1"/>
  <c r="M424" i="4"/>
  <c r="L424" i="4" s="1"/>
  <c r="M425" i="4"/>
  <c r="L425" i="4" s="1"/>
  <c r="M426" i="4"/>
  <c r="L426" i="4" s="1"/>
  <c r="M427" i="4"/>
  <c r="L427" i="4" s="1"/>
  <c r="M428" i="4"/>
  <c r="L428" i="4" s="1"/>
  <c r="M429" i="4"/>
  <c r="L429" i="4" s="1"/>
  <c r="M430" i="4"/>
  <c r="L430" i="4" s="1"/>
  <c r="M431" i="4"/>
  <c r="L431" i="4" s="1"/>
  <c r="M432" i="4"/>
  <c r="L432" i="4" s="1"/>
  <c r="M433" i="4"/>
  <c r="L433" i="4" s="1"/>
  <c r="M434" i="4"/>
  <c r="L434" i="4" s="1"/>
  <c r="M435" i="4"/>
  <c r="L435" i="4" s="1"/>
  <c r="M436" i="4"/>
  <c r="L436" i="4" s="1"/>
  <c r="M437" i="4"/>
  <c r="L437" i="4" s="1"/>
  <c r="M438" i="4"/>
  <c r="L438" i="4" s="1"/>
  <c r="M439" i="4"/>
  <c r="L439" i="4" s="1"/>
  <c r="M440" i="4"/>
  <c r="L440" i="4" s="1"/>
  <c r="M441" i="4"/>
  <c r="L441" i="4" s="1"/>
  <c r="M442" i="4"/>
  <c r="L442" i="4" s="1"/>
  <c r="M443" i="4"/>
  <c r="L443" i="4" s="1"/>
  <c r="M444" i="4"/>
  <c r="L444" i="4" s="1"/>
  <c r="M445" i="4"/>
  <c r="L445" i="4" s="1"/>
  <c r="M446" i="4"/>
  <c r="L446" i="4" s="1"/>
  <c r="M447" i="4"/>
  <c r="L447" i="4" s="1"/>
  <c r="M448" i="4"/>
  <c r="L448" i="4" s="1"/>
  <c r="M449" i="4"/>
  <c r="L449" i="4" s="1"/>
  <c r="M450" i="4"/>
  <c r="L450" i="4" s="1"/>
  <c r="M451" i="4"/>
  <c r="L451" i="4" s="1"/>
  <c r="M452" i="4"/>
  <c r="L452" i="4" s="1"/>
  <c r="M453" i="4"/>
  <c r="L453" i="4" s="1"/>
  <c r="M454" i="4"/>
  <c r="L454" i="4" s="1"/>
  <c r="M455" i="4"/>
  <c r="L455" i="4" s="1"/>
  <c r="M456" i="4"/>
  <c r="L456" i="4" s="1"/>
  <c r="M457" i="4"/>
  <c r="L457" i="4" s="1"/>
  <c r="M458" i="4"/>
  <c r="L458" i="4" s="1"/>
  <c r="M459" i="4"/>
  <c r="L459" i="4" s="1"/>
  <c r="M460" i="4"/>
  <c r="L460" i="4" s="1"/>
  <c r="M461" i="4"/>
  <c r="L461" i="4" s="1"/>
  <c r="M462" i="4"/>
  <c r="L462" i="4" s="1"/>
  <c r="M463" i="4"/>
  <c r="L463" i="4" s="1"/>
  <c r="M464" i="4"/>
  <c r="L464" i="4" s="1"/>
  <c r="M465" i="4"/>
  <c r="L465" i="4" s="1"/>
  <c r="M466" i="4"/>
  <c r="L466" i="4" s="1"/>
  <c r="M467" i="4"/>
  <c r="L467" i="4" s="1"/>
  <c r="M468" i="4"/>
  <c r="L468" i="4" s="1"/>
  <c r="M469" i="4"/>
  <c r="L469" i="4" s="1"/>
  <c r="M470" i="4"/>
  <c r="L470" i="4" s="1"/>
  <c r="M471" i="4"/>
  <c r="L471" i="4" s="1"/>
  <c r="M472" i="4"/>
  <c r="L472" i="4" s="1"/>
  <c r="M473" i="4"/>
  <c r="L473" i="4" s="1"/>
  <c r="M474" i="4"/>
  <c r="L474" i="4" s="1"/>
  <c r="M475" i="4"/>
  <c r="L475" i="4" s="1"/>
  <c r="M476" i="4"/>
  <c r="L476" i="4" s="1"/>
  <c r="M477" i="4"/>
  <c r="L477" i="4" s="1"/>
  <c r="M478" i="4"/>
  <c r="L478" i="4" s="1"/>
  <c r="M479" i="4"/>
  <c r="L479" i="4" s="1"/>
  <c r="M480" i="4"/>
  <c r="L480" i="4" s="1"/>
  <c r="M481" i="4"/>
  <c r="L481" i="4" s="1"/>
  <c r="M482" i="4"/>
  <c r="L482" i="4" s="1"/>
  <c r="M483" i="4"/>
  <c r="L483" i="4" s="1"/>
  <c r="M484" i="4"/>
  <c r="L484" i="4" s="1"/>
  <c r="M485" i="4"/>
  <c r="L485" i="4" s="1"/>
  <c r="M486" i="4"/>
  <c r="L486" i="4" s="1"/>
  <c r="M487" i="4"/>
  <c r="L487" i="4" s="1"/>
  <c r="M488" i="4"/>
  <c r="L488" i="4" s="1"/>
  <c r="M489" i="4"/>
  <c r="L489" i="4" s="1"/>
  <c r="M490" i="4"/>
  <c r="L490" i="4" s="1"/>
  <c r="M491" i="4"/>
  <c r="L491" i="4" s="1"/>
  <c r="M492" i="4"/>
  <c r="L492" i="4" s="1"/>
  <c r="M493" i="4"/>
  <c r="L493" i="4" s="1"/>
  <c r="M494" i="4"/>
  <c r="L494" i="4" s="1"/>
  <c r="M495" i="4"/>
  <c r="L495" i="4" s="1"/>
  <c r="M496" i="4"/>
  <c r="L496" i="4" s="1"/>
  <c r="M497" i="4"/>
  <c r="L497" i="4" s="1"/>
  <c r="M498" i="4"/>
  <c r="L498" i="4" s="1"/>
  <c r="M499" i="4"/>
  <c r="L499" i="4" s="1"/>
  <c r="M500" i="4"/>
  <c r="L500" i="4" s="1"/>
  <c r="M501" i="4"/>
  <c r="L501" i="4" s="1"/>
  <c r="M502" i="4"/>
  <c r="L502" i="4" s="1"/>
  <c r="M503" i="4"/>
  <c r="L503" i="4" s="1"/>
  <c r="M504" i="4"/>
  <c r="L504" i="4" s="1"/>
  <c r="M505" i="4"/>
  <c r="L505" i="4" s="1"/>
  <c r="M506" i="4"/>
  <c r="L506" i="4" s="1"/>
  <c r="M507" i="4"/>
  <c r="L507" i="4" s="1"/>
  <c r="M508" i="4"/>
  <c r="L508" i="4" s="1"/>
  <c r="M509" i="4"/>
  <c r="L509" i="4" s="1"/>
  <c r="M510" i="4"/>
  <c r="L510" i="4" s="1"/>
  <c r="M511" i="4"/>
  <c r="L511" i="4" s="1"/>
  <c r="M512" i="4"/>
  <c r="L512" i="4" s="1"/>
  <c r="M513" i="4"/>
  <c r="L513" i="4" s="1"/>
  <c r="M514" i="4"/>
  <c r="L514" i="4" s="1"/>
  <c r="M515" i="4"/>
  <c r="L515" i="4" s="1"/>
  <c r="M516" i="4"/>
  <c r="L516" i="4" s="1"/>
  <c r="M517" i="4"/>
  <c r="L517" i="4" s="1"/>
  <c r="M518" i="4"/>
  <c r="L518" i="4" s="1"/>
  <c r="M519" i="4"/>
  <c r="L519" i="4" s="1"/>
  <c r="M520" i="4"/>
  <c r="L520" i="4" s="1"/>
  <c r="M521" i="4"/>
  <c r="L521" i="4" s="1"/>
  <c r="M522" i="4"/>
  <c r="L522" i="4" s="1"/>
  <c r="M523" i="4"/>
  <c r="L523" i="4" s="1"/>
  <c r="M524" i="4"/>
  <c r="L524" i="4" s="1"/>
  <c r="M525" i="4"/>
  <c r="L525" i="4" s="1"/>
  <c r="M526" i="4"/>
  <c r="L526" i="4" s="1"/>
  <c r="M527" i="4"/>
  <c r="L527" i="4" s="1"/>
  <c r="M528" i="4"/>
  <c r="L528" i="4" s="1"/>
  <c r="M529" i="4"/>
  <c r="L529" i="4" s="1"/>
  <c r="M530" i="4"/>
  <c r="L530" i="4" s="1"/>
  <c r="M531" i="4"/>
  <c r="L531" i="4" s="1"/>
  <c r="M532" i="4"/>
  <c r="L532" i="4" s="1"/>
  <c r="M533" i="4"/>
  <c r="L533" i="4" s="1"/>
  <c r="M534" i="4"/>
  <c r="L534" i="4" s="1"/>
  <c r="M535" i="4"/>
  <c r="L535" i="4" s="1"/>
  <c r="M536" i="4"/>
  <c r="L536" i="4" s="1"/>
  <c r="M537" i="4"/>
  <c r="L537" i="4" s="1"/>
  <c r="M538" i="4"/>
  <c r="L538" i="4" s="1"/>
  <c r="M539" i="4"/>
  <c r="L539" i="4" s="1"/>
  <c r="M540" i="4"/>
  <c r="L540" i="4" s="1"/>
  <c r="M541" i="4"/>
  <c r="L541" i="4" s="1"/>
  <c r="M542" i="4"/>
  <c r="L542" i="4" s="1"/>
  <c r="M543" i="4"/>
  <c r="L543" i="4" s="1"/>
  <c r="M544" i="4"/>
  <c r="L544" i="4" s="1"/>
  <c r="M545" i="4"/>
  <c r="L545" i="4" s="1"/>
  <c r="M546" i="4"/>
  <c r="L546" i="4" s="1"/>
  <c r="M547" i="4"/>
  <c r="L547" i="4" s="1"/>
  <c r="M548" i="4"/>
  <c r="L548" i="4" s="1"/>
  <c r="M549" i="4"/>
  <c r="L549" i="4" s="1"/>
  <c r="M550" i="4"/>
  <c r="L550" i="4" s="1"/>
  <c r="M551" i="4"/>
  <c r="L551" i="4" s="1"/>
  <c r="M552" i="4"/>
  <c r="L552" i="4" s="1"/>
  <c r="M553" i="4"/>
  <c r="L553" i="4" s="1"/>
  <c r="M554" i="4"/>
  <c r="L554" i="4" s="1"/>
  <c r="M555" i="4"/>
  <c r="L555" i="4" s="1"/>
  <c r="M556" i="4"/>
  <c r="L556" i="4" s="1"/>
  <c r="M557" i="4"/>
  <c r="L557" i="4" s="1"/>
  <c r="M558" i="4"/>
  <c r="L558" i="4" s="1"/>
  <c r="M559" i="4"/>
  <c r="L559" i="4" s="1"/>
  <c r="M560" i="4"/>
  <c r="L560" i="4" s="1"/>
  <c r="M561" i="4"/>
  <c r="L561" i="4" s="1"/>
  <c r="M562" i="4"/>
  <c r="L562" i="4" s="1"/>
  <c r="M563" i="4"/>
  <c r="L563" i="4" s="1"/>
  <c r="M564" i="4"/>
  <c r="L564" i="4" s="1"/>
  <c r="M565" i="4"/>
  <c r="L565" i="4" s="1"/>
  <c r="M566" i="4"/>
  <c r="L566" i="4" s="1"/>
  <c r="M567" i="4"/>
  <c r="L567" i="4" s="1"/>
  <c r="M568" i="4"/>
  <c r="L568" i="4" s="1"/>
  <c r="M569" i="4"/>
  <c r="L569" i="4" s="1"/>
  <c r="M570" i="4"/>
  <c r="L570" i="4" s="1"/>
  <c r="M571" i="4"/>
  <c r="L571" i="4" s="1"/>
  <c r="M572" i="4"/>
  <c r="L572" i="4" s="1"/>
  <c r="M573" i="4"/>
  <c r="L573" i="4" s="1"/>
  <c r="M574" i="4"/>
  <c r="L574" i="4" s="1"/>
  <c r="M575" i="4"/>
  <c r="L575" i="4" s="1"/>
  <c r="M576" i="4"/>
  <c r="L576" i="4" s="1"/>
  <c r="M577" i="4"/>
  <c r="L577" i="4" s="1"/>
  <c r="M578" i="4"/>
  <c r="L578" i="4" s="1"/>
  <c r="M579" i="4"/>
  <c r="L579" i="4" s="1"/>
  <c r="M580" i="4"/>
  <c r="L580" i="4" s="1"/>
  <c r="M581" i="4"/>
  <c r="L581" i="4" s="1"/>
  <c r="M582" i="4"/>
  <c r="L582" i="4" s="1"/>
  <c r="M583" i="4"/>
  <c r="L583" i="4" s="1"/>
  <c r="M584" i="4"/>
  <c r="L584" i="4" s="1"/>
  <c r="M585" i="4"/>
  <c r="L585" i="4" s="1"/>
  <c r="M586" i="4"/>
  <c r="L586" i="4" s="1"/>
  <c r="M587" i="4"/>
  <c r="L587" i="4" s="1"/>
  <c r="M588" i="4"/>
  <c r="L588" i="4" s="1"/>
  <c r="M589" i="4"/>
  <c r="L589" i="4" s="1"/>
  <c r="M590" i="4"/>
  <c r="L590" i="4" s="1"/>
  <c r="M591" i="4"/>
  <c r="L591" i="4" s="1"/>
  <c r="M592" i="4"/>
  <c r="L592" i="4" s="1"/>
  <c r="M593" i="4"/>
  <c r="L593" i="4" s="1"/>
  <c r="M594" i="4"/>
  <c r="L594" i="4" s="1"/>
  <c r="M595" i="4"/>
  <c r="L595" i="4" s="1"/>
  <c r="M596" i="4"/>
  <c r="L596" i="4" s="1"/>
  <c r="M597" i="4"/>
  <c r="L597" i="4" s="1"/>
  <c r="M598" i="4"/>
  <c r="L598" i="4" s="1"/>
  <c r="M599" i="4"/>
  <c r="L599" i="4" s="1"/>
  <c r="M600" i="4"/>
  <c r="L600" i="4" s="1"/>
  <c r="M601" i="4"/>
  <c r="L601" i="4" s="1"/>
  <c r="M602" i="4"/>
  <c r="L602" i="4" s="1"/>
  <c r="M603" i="4"/>
  <c r="L603" i="4" s="1"/>
  <c r="M604" i="4"/>
  <c r="L604" i="4" s="1"/>
  <c r="M605" i="4"/>
  <c r="L605" i="4" s="1"/>
  <c r="M606" i="4"/>
  <c r="L606" i="4" s="1"/>
  <c r="M607" i="4"/>
  <c r="L607" i="4" s="1"/>
  <c r="M608" i="4"/>
  <c r="L608" i="4" s="1"/>
  <c r="M609" i="4"/>
  <c r="L609" i="4" s="1"/>
  <c r="M610" i="4"/>
  <c r="L610" i="4" s="1"/>
  <c r="M611" i="4"/>
  <c r="L611" i="4" s="1"/>
  <c r="M612" i="4"/>
  <c r="L612" i="4" s="1"/>
  <c r="M613" i="4"/>
  <c r="L613" i="4" s="1"/>
  <c r="M614" i="4"/>
  <c r="L614" i="4" s="1"/>
  <c r="M615" i="4"/>
  <c r="L615" i="4" s="1"/>
  <c r="M616" i="4"/>
  <c r="L616" i="4" s="1"/>
  <c r="M617" i="4"/>
  <c r="L617" i="4" s="1"/>
  <c r="M618" i="4"/>
  <c r="L618" i="4" s="1"/>
  <c r="M619" i="4"/>
  <c r="L619" i="4" s="1"/>
  <c r="M620" i="4"/>
  <c r="L620" i="4" s="1"/>
  <c r="M621" i="4"/>
  <c r="L621" i="4" s="1"/>
  <c r="M622" i="4"/>
  <c r="L622" i="4" s="1"/>
  <c r="M623" i="4"/>
  <c r="L623" i="4" s="1"/>
  <c r="M624" i="4"/>
  <c r="L624" i="4" s="1"/>
  <c r="M625" i="4"/>
  <c r="L625" i="4" s="1"/>
  <c r="M626" i="4"/>
  <c r="L626" i="4" s="1"/>
  <c r="M627" i="4"/>
  <c r="L627" i="4" s="1"/>
  <c r="M628" i="4"/>
  <c r="L628" i="4" s="1"/>
  <c r="M629" i="4"/>
  <c r="L629" i="4" s="1"/>
  <c r="M630" i="4"/>
  <c r="L630" i="4" s="1"/>
  <c r="M631" i="4"/>
  <c r="L631" i="4" s="1"/>
  <c r="M632" i="4"/>
  <c r="L632" i="4" s="1"/>
  <c r="M633" i="4"/>
  <c r="L633" i="4" s="1"/>
  <c r="M634" i="4"/>
  <c r="L634" i="4" s="1"/>
  <c r="M635" i="4"/>
  <c r="L635" i="4" s="1"/>
  <c r="M636" i="4"/>
  <c r="L636" i="4" s="1"/>
  <c r="M637" i="4"/>
  <c r="L637" i="4" s="1"/>
  <c r="M638" i="4"/>
  <c r="L638" i="4" s="1"/>
  <c r="M639" i="4"/>
  <c r="L639" i="4" s="1"/>
  <c r="M640" i="4"/>
  <c r="L640" i="4" s="1"/>
  <c r="M641" i="4"/>
  <c r="L641" i="4" s="1"/>
  <c r="M642" i="4"/>
  <c r="L642" i="4" s="1"/>
  <c r="M643" i="4"/>
  <c r="L643" i="4" s="1"/>
  <c r="M644" i="4"/>
  <c r="L644" i="4" s="1"/>
  <c r="M645" i="4"/>
  <c r="L645" i="4" s="1"/>
  <c r="M646" i="4"/>
  <c r="L646" i="4" s="1"/>
  <c r="M647" i="4"/>
  <c r="L647" i="4" s="1"/>
  <c r="M648" i="4"/>
  <c r="L648" i="4" s="1"/>
  <c r="M649" i="4"/>
  <c r="L649" i="4" s="1"/>
  <c r="M650" i="4"/>
  <c r="L650" i="4" s="1"/>
  <c r="M651" i="4"/>
  <c r="L651" i="4" s="1"/>
  <c r="M652" i="4"/>
  <c r="L652" i="4" s="1"/>
  <c r="M653" i="4"/>
  <c r="L653" i="4" s="1"/>
  <c r="M654" i="4"/>
  <c r="L654" i="4" s="1"/>
  <c r="M655" i="4"/>
  <c r="L655" i="4" s="1"/>
  <c r="M656" i="4"/>
  <c r="L656" i="4" s="1"/>
  <c r="M657" i="4"/>
  <c r="L657" i="4" s="1"/>
  <c r="M658" i="4"/>
  <c r="L658" i="4" s="1"/>
  <c r="M659" i="4"/>
  <c r="L659" i="4" s="1"/>
  <c r="M660" i="4"/>
  <c r="L660" i="4" s="1"/>
  <c r="M661" i="4"/>
  <c r="L661" i="4" s="1"/>
  <c r="M662" i="4"/>
  <c r="L662" i="4" s="1"/>
  <c r="M663" i="4"/>
  <c r="L663" i="4" s="1"/>
  <c r="M664" i="4"/>
  <c r="L664" i="4" s="1"/>
  <c r="M665" i="4"/>
  <c r="L665" i="4" s="1"/>
  <c r="M666" i="4"/>
  <c r="L666" i="4" s="1"/>
  <c r="M667" i="4"/>
  <c r="L667" i="4" s="1"/>
  <c r="M668" i="4"/>
  <c r="L668" i="4" s="1"/>
  <c r="M669" i="4"/>
  <c r="L669" i="4" s="1"/>
  <c r="M670" i="4"/>
  <c r="L670" i="4" s="1"/>
  <c r="M671" i="4"/>
  <c r="L671" i="4" s="1"/>
  <c r="M672" i="4"/>
  <c r="L672" i="4" s="1"/>
  <c r="M673" i="4"/>
  <c r="L673" i="4" s="1"/>
  <c r="M674" i="4"/>
  <c r="L674" i="4" s="1"/>
  <c r="M675" i="4"/>
  <c r="L675" i="4" s="1"/>
  <c r="M676" i="4"/>
  <c r="L676" i="4" s="1"/>
  <c r="M677" i="4"/>
  <c r="L677" i="4" s="1"/>
  <c r="M678" i="4"/>
  <c r="L678" i="4" s="1"/>
  <c r="M679" i="4"/>
  <c r="L679" i="4" s="1"/>
  <c r="M680" i="4"/>
  <c r="L680" i="4" s="1"/>
  <c r="M681" i="4"/>
  <c r="L681" i="4" s="1"/>
  <c r="M682" i="4"/>
  <c r="L682" i="4" s="1"/>
  <c r="M683" i="4"/>
  <c r="L683" i="4" s="1"/>
  <c r="M684" i="4"/>
  <c r="L684" i="4" s="1"/>
  <c r="M685" i="4"/>
  <c r="L685" i="4" s="1"/>
  <c r="M686" i="4"/>
  <c r="L686" i="4" s="1"/>
  <c r="M687" i="4"/>
  <c r="L687" i="4" s="1"/>
  <c r="M688" i="4"/>
  <c r="L688" i="4" s="1"/>
  <c r="M689" i="4"/>
  <c r="L689" i="4" s="1"/>
  <c r="M690" i="4"/>
  <c r="L690" i="4" s="1"/>
  <c r="M691" i="4"/>
  <c r="L691" i="4" s="1"/>
  <c r="M692" i="4"/>
  <c r="L692" i="4" s="1"/>
  <c r="M693" i="4"/>
  <c r="L693" i="4" s="1"/>
  <c r="M694" i="4"/>
  <c r="L694" i="4" s="1"/>
  <c r="M695" i="4"/>
  <c r="L695" i="4" s="1"/>
  <c r="M696" i="4"/>
  <c r="L696" i="4" s="1"/>
  <c r="M697" i="4"/>
  <c r="L697" i="4" s="1"/>
  <c r="M698" i="4"/>
  <c r="L698" i="4" s="1"/>
  <c r="M699" i="4"/>
  <c r="L699" i="4" s="1"/>
  <c r="M700" i="4"/>
  <c r="L700" i="4" s="1"/>
  <c r="M701" i="4"/>
  <c r="L701" i="4" s="1"/>
  <c r="M702" i="4"/>
  <c r="L702" i="4" s="1"/>
  <c r="M703" i="4"/>
  <c r="L703" i="4" s="1"/>
  <c r="M704" i="4"/>
  <c r="L704" i="4" s="1"/>
  <c r="M705" i="4"/>
  <c r="L705" i="4" s="1"/>
  <c r="M706" i="4"/>
  <c r="L706" i="4" s="1"/>
  <c r="M707" i="4"/>
  <c r="L707" i="4" s="1"/>
  <c r="M708" i="4"/>
  <c r="L708" i="4" s="1"/>
  <c r="M709" i="4"/>
  <c r="L709" i="4" s="1"/>
  <c r="M710" i="4"/>
  <c r="L710" i="4" s="1"/>
  <c r="M711" i="4"/>
  <c r="L711" i="4" s="1"/>
  <c r="M712" i="4"/>
  <c r="L712" i="4" s="1"/>
  <c r="M713" i="4"/>
  <c r="L713" i="4" s="1"/>
  <c r="M714" i="4"/>
  <c r="L714" i="4" s="1"/>
  <c r="M715" i="4"/>
  <c r="L715" i="4" s="1"/>
  <c r="M716" i="4"/>
  <c r="L716" i="4" s="1"/>
  <c r="M717" i="4"/>
  <c r="L717" i="4" s="1"/>
  <c r="M718" i="4"/>
  <c r="L718" i="4" s="1"/>
  <c r="M719" i="4"/>
  <c r="L719" i="4" s="1"/>
  <c r="M720" i="4"/>
  <c r="L720" i="4" s="1"/>
  <c r="M721" i="4"/>
  <c r="L721" i="4" s="1"/>
  <c r="M722" i="4"/>
  <c r="L722" i="4" s="1"/>
  <c r="M723" i="4"/>
  <c r="L723" i="4" s="1"/>
  <c r="M724" i="4"/>
  <c r="L724" i="4" s="1"/>
  <c r="M725" i="4"/>
  <c r="L725" i="4" s="1"/>
  <c r="M726" i="4"/>
  <c r="L726" i="4" s="1"/>
  <c r="M727" i="4"/>
  <c r="L727" i="4" s="1"/>
  <c r="M728" i="4"/>
  <c r="L728" i="4" s="1"/>
  <c r="M729" i="4"/>
  <c r="L729" i="4" s="1"/>
  <c r="M730" i="4"/>
  <c r="L730" i="4" s="1"/>
  <c r="M731" i="4"/>
  <c r="L731" i="4" s="1"/>
  <c r="M732" i="4"/>
  <c r="L732" i="4" s="1"/>
  <c r="M733" i="4"/>
  <c r="L733" i="4" s="1"/>
  <c r="M734" i="4"/>
  <c r="L734" i="4" s="1"/>
  <c r="M735" i="4"/>
  <c r="L735" i="4" s="1"/>
  <c r="M736" i="4"/>
  <c r="L736" i="4" s="1"/>
  <c r="M737" i="4"/>
  <c r="L737" i="4" s="1"/>
  <c r="M738" i="4"/>
  <c r="L738" i="4" s="1"/>
  <c r="M739" i="4"/>
  <c r="L739" i="4" s="1"/>
  <c r="M740" i="4"/>
  <c r="L740" i="4" s="1"/>
  <c r="M741" i="4"/>
  <c r="L741" i="4" s="1"/>
  <c r="M742" i="4"/>
  <c r="L742" i="4" s="1"/>
  <c r="M743" i="4"/>
  <c r="L743" i="4" s="1"/>
  <c r="M744" i="4"/>
  <c r="L744" i="4" s="1"/>
  <c r="M745" i="4"/>
  <c r="L745" i="4" s="1"/>
  <c r="M746" i="4"/>
  <c r="L746" i="4" s="1"/>
  <c r="M747" i="4"/>
  <c r="L747" i="4" s="1"/>
  <c r="M748" i="4"/>
  <c r="L748" i="4" s="1"/>
  <c r="M749" i="4"/>
  <c r="L749" i="4" s="1"/>
  <c r="M750" i="4"/>
  <c r="L750" i="4" s="1"/>
  <c r="M751" i="4"/>
  <c r="L751" i="4" s="1"/>
  <c r="M752" i="4"/>
  <c r="L752" i="4" s="1"/>
  <c r="M753" i="4"/>
  <c r="L753" i="4" s="1"/>
  <c r="M754" i="4"/>
  <c r="L754" i="4" s="1"/>
  <c r="M755" i="4"/>
  <c r="L755" i="4" s="1"/>
  <c r="M756" i="4"/>
  <c r="L756" i="4" s="1"/>
  <c r="M757" i="4"/>
  <c r="L757" i="4" s="1"/>
  <c r="M758" i="4"/>
  <c r="L758" i="4" s="1"/>
  <c r="M759" i="4"/>
  <c r="L759" i="4" s="1"/>
  <c r="M760" i="4"/>
  <c r="L760" i="4" s="1"/>
  <c r="M761" i="4"/>
  <c r="L761" i="4" s="1"/>
  <c r="M762" i="4"/>
  <c r="L762" i="4" s="1"/>
  <c r="M763" i="4"/>
  <c r="L763" i="4" s="1"/>
  <c r="M764" i="4"/>
  <c r="L764" i="4" s="1"/>
  <c r="M765" i="4"/>
  <c r="L765" i="4" s="1"/>
  <c r="M766" i="4"/>
  <c r="L766" i="4" s="1"/>
  <c r="M767" i="4"/>
  <c r="L767" i="4" s="1"/>
  <c r="M768" i="4"/>
  <c r="L768" i="4" s="1"/>
  <c r="M769" i="4"/>
  <c r="L769" i="4" s="1"/>
  <c r="M770" i="4"/>
  <c r="L770" i="4" s="1"/>
  <c r="M771" i="4"/>
  <c r="L771" i="4" s="1"/>
  <c r="M772" i="4"/>
  <c r="L772" i="4" s="1"/>
  <c r="M773" i="4"/>
  <c r="L773" i="4" s="1"/>
  <c r="M774" i="4"/>
  <c r="L774" i="4" s="1"/>
  <c r="M775" i="4"/>
  <c r="L775" i="4" s="1"/>
  <c r="M776" i="4"/>
  <c r="L776" i="4" s="1"/>
  <c r="M777" i="4"/>
  <c r="L777" i="4" s="1"/>
  <c r="M778" i="4"/>
  <c r="L778" i="4" s="1"/>
  <c r="M779" i="4"/>
  <c r="L779" i="4" s="1"/>
  <c r="M780" i="4"/>
  <c r="L780" i="4" s="1"/>
  <c r="M781" i="4"/>
  <c r="L781" i="4" s="1"/>
  <c r="M782" i="4"/>
  <c r="L782" i="4" s="1"/>
  <c r="M783" i="4"/>
  <c r="L783" i="4" s="1"/>
  <c r="M784" i="4"/>
  <c r="L784" i="4" s="1"/>
  <c r="M785" i="4"/>
  <c r="L785" i="4" s="1"/>
  <c r="M786" i="4"/>
  <c r="L786" i="4" s="1"/>
  <c r="M787" i="4"/>
  <c r="L787" i="4" s="1"/>
  <c r="M788" i="4"/>
  <c r="L788" i="4" s="1"/>
  <c r="M789" i="4"/>
  <c r="L789" i="4" s="1"/>
  <c r="M790" i="4"/>
  <c r="L790" i="4" s="1"/>
  <c r="M791" i="4"/>
  <c r="L791" i="4" s="1"/>
  <c r="M792" i="4"/>
  <c r="L792" i="4" s="1"/>
  <c r="M793" i="4"/>
  <c r="L793" i="4" s="1"/>
  <c r="M794" i="4"/>
  <c r="L794" i="4" s="1"/>
  <c r="M795" i="4"/>
  <c r="L795" i="4" s="1"/>
  <c r="M796" i="4"/>
  <c r="L796" i="4" s="1"/>
  <c r="M797" i="4"/>
  <c r="L797" i="4" s="1"/>
  <c r="M798" i="4"/>
  <c r="L798" i="4" s="1"/>
  <c r="M799" i="4"/>
  <c r="L799" i="4" s="1"/>
  <c r="M800" i="4"/>
  <c r="L800" i="4" s="1"/>
  <c r="M801" i="4"/>
  <c r="L801" i="4" s="1"/>
  <c r="M802" i="4"/>
  <c r="L802" i="4" s="1"/>
  <c r="M803" i="4"/>
  <c r="L803" i="4" s="1"/>
  <c r="M804" i="4"/>
  <c r="L804" i="4" s="1"/>
  <c r="M805" i="4"/>
  <c r="L805" i="4" s="1"/>
  <c r="M806" i="4"/>
  <c r="L806" i="4" s="1"/>
  <c r="M807" i="4"/>
  <c r="L807" i="4" s="1"/>
  <c r="M808" i="4"/>
  <c r="L808" i="4" s="1"/>
  <c r="M809" i="4"/>
  <c r="L809" i="4" s="1"/>
  <c r="M810" i="4"/>
  <c r="L810" i="4" s="1"/>
  <c r="M811" i="4"/>
  <c r="L811" i="4" s="1"/>
  <c r="M812" i="4"/>
  <c r="L812" i="4" s="1"/>
  <c r="M813" i="4"/>
  <c r="L813" i="4" s="1"/>
  <c r="M814" i="4"/>
  <c r="L814" i="4" s="1"/>
  <c r="M815" i="4"/>
  <c r="L815" i="4" s="1"/>
  <c r="M816" i="4"/>
  <c r="L816" i="4" s="1"/>
  <c r="M817" i="4"/>
  <c r="L817" i="4" s="1"/>
  <c r="M818" i="4"/>
  <c r="L818" i="4" s="1"/>
  <c r="M819" i="4"/>
  <c r="L819" i="4" s="1"/>
  <c r="M820" i="4"/>
  <c r="L820" i="4" s="1"/>
  <c r="M821" i="4"/>
  <c r="L821" i="4" s="1"/>
  <c r="M822" i="4"/>
  <c r="L822" i="4" s="1"/>
  <c r="M823" i="4"/>
  <c r="L823" i="4" s="1"/>
  <c r="M824" i="4"/>
  <c r="L824" i="4" s="1"/>
  <c r="M825" i="4"/>
  <c r="L825" i="4" s="1"/>
  <c r="M826" i="4"/>
  <c r="L826" i="4" s="1"/>
  <c r="M827" i="4"/>
  <c r="L827" i="4" s="1"/>
  <c r="M828" i="4"/>
  <c r="L828" i="4" s="1"/>
  <c r="M829" i="4"/>
  <c r="L829" i="4" s="1"/>
  <c r="M830" i="4"/>
  <c r="L830" i="4" s="1"/>
  <c r="M831" i="4"/>
  <c r="L831" i="4" s="1"/>
  <c r="M832" i="4"/>
  <c r="L832" i="4" s="1"/>
  <c r="M833" i="4"/>
  <c r="L833" i="4" s="1"/>
  <c r="M834" i="4"/>
  <c r="L834" i="4" s="1"/>
  <c r="M835" i="4"/>
  <c r="L835" i="4" s="1"/>
  <c r="M836" i="4"/>
  <c r="L836" i="4" s="1"/>
  <c r="M837" i="4"/>
  <c r="L837" i="4" s="1"/>
  <c r="M838" i="4"/>
  <c r="L838" i="4" s="1"/>
  <c r="M839" i="4"/>
  <c r="L839" i="4" s="1"/>
  <c r="M840" i="4"/>
  <c r="L840" i="4" s="1"/>
  <c r="M841" i="4"/>
  <c r="L841" i="4" s="1"/>
  <c r="M842" i="4"/>
  <c r="L842" i="4" s="1"/>
  <c r="M843" i="4"/>
  <c r="L843" i="4" s="1"/>
  <c r="M844" i="4"/>
  <c r="L844" i="4" s="1"/>
  <c r="M845" i="4"/>
  <c r="L845" i="4" s="1"/>
  <c r="M846" i="4"/>
  <c r="L846" i="4" s="1"/>
  <c r="M847" i="4"/>
  <c r="L847" i="4" s="1"/>
  <c r="M848" i="4"/>
  <c r="L848" i="4" s="1"/>
  <c r="M849" i="4"/>
  <c r="L849" i="4" s="1"/>
  <c r="M850" i="4"/>
  <c r="L850" i="4" s="1"/>
  <c r="M851" i="4"/>
  <c r="L851" i="4" s="1"/>
  <c r="M852" i="4"/>
  <c r="L852" i="4" s="1"/>
  <c r="M853" i="4"/>
  <c r="L853" i="4" s="1"/>
  <c r="M854" i="4"/>
  <c r="L854" i="4" s="1"/>
  <c r="M855" i="4"/>
  <c r="L855" i="4" s="1"/>
  <c r="M856" i="4"/>
  <c r="L856" i="4" s="1"/>
  <c r="M857" i="4"/>
  <c r="L857" i="4" s="1"/>
  <c r="M858" i="4"/>
  <c r="L858" i="4" s="1"/>
  <c r="M859" i="4"/>
  <c r="L859" i="4" s="1"/>
  <c r="M860" i="4"/>
  <c r="L860" i="4" s="1"/>
  <c r="M861" i="4"/>
  <c r="L861" i="4" s="1"/>
  <c r="M862" i="4"/>
  <c r="L862" i="4" s="1"/>
  <c r="M863" i="4"/>
  <c r="L863" i="4" s="1"/>
  <c r="M864" i="4"/>
  <c r="L864" i="4" s="1"/>
  <c r="M865" i="4"/>
  <c r="L865" i="4" s="1"/>
  <c r="M866" i="4"/>
  <c r="L866" i="4" s="1"/>
  <c r="M867" i="4"/>
  <c r="L867" i="4" s="1"/>
  <c r="M868" i="4"/>
  <c r="L868" i="4" s="1"/>
  <c r="M869" i="4"/>
  <c r="L869" i="4" s="1"/>
  <c r="M870" i="4"/>
  <c r="L870" i="4" s="1"/>
  <c r="M871" i="4"/>
  <c r="L871" i="4" s="1"/>
  <c r="M872" i="4"/>
  <c r="L872" i="4" s="1"/>
  <c r="M873" i="4"/>
  <c r="L873" i="4" s="1"/>
  <c r="M874" i="4"/>
  <c r="L874" i="4" s="1"/>
  <c r="M875" i="4"/>
  <c r="L875" i="4" s="1"/>
  <c r="M876" i="4"/>
  <c r="L876" i="4" s="1"/>
  <c r="M877" i="4"/>
  <c r="L877" i="4" s="1"/>
  <c r="M878" i="4"/>
  <c r="L878" i="4" s="1"/>
  <c r="M879" i="4"/>
  <c r="L879" i="4" s="1"/>
  <c r="M880" i="4"/>
  <c r="L880" i="4" s="1"/>
  <c r="M881" i="4"/>
  <c r="L881" i="4" s="1"/>
  <c r="M882" i="4"/>
  <c r="L882" i="4" s="1"/>
  <c r="M883" i="4"/>
  <c r="L883" i="4" s="1"/>
  <c r="M884" i="4"/>
  <c r="L884" i="4" s="1"/>
  <c r="M885" i="4"/>
  <c r="L885" i="4" s="1"/>
  <c r="M886" i="4"/>
  <c r="L886" i="4" s="1"/>
  <c r="M887" i="4"/>
  <c r="L887" i="4" s="1"/>
  <c r="M888" i="4"/>
  <c r="L888" i="4" s="1"/>
  <c r="M889" i="4"/>
  <c r="L889" i="4" s="1"/>
  <c r="M890" i="4"/>
  <c r="L890" i="4" s="1"/>
  <c r="M891" i="4"/>
  <c r="L891" i="4" s="1"/>
  <c r="M892" i="4"/>
  <c r="L892" i="4" s="1"/>
  <c r="M893" i="4"/>
  <c r="L893" i="4" s="1"/>
  <c r="M894" i="4"/>
  <c r="L894" i="4" s="1"/>
  <c r="M895" i="4"/>
  <c r="L895" i="4" s="1"/>
  <c r="M896" i="4"/>
  <c r="L896" i="4" s="1"/>
  <c r="M897" i="4"/>
  <c r="L897" i="4" s="1"/>
  <c r="M898" i="4"/>
  <c r="L898" i="4" s="1"/>
  <c r="M899" i="4"/>
  <c r="L899" i="4" s="1"/>
  <c r="M900" i="4"/>
  <c r="L900" i="4" s="1"/>
  <c r="M901" i="4"/>
  <c r="L901" i="4" s="1"/>
  <c r="M902" i="4"/>
  <c r="L902" i="4" s="1"/>
  <c r="M903" i="4"/>
  <c r="L903" i="4" s="1"/>
  <c r="M904" i="4"/>
  <c r="L904" i="4" s="1"/>
  <c r="M905" i="4"/>
  <c r="L905" i="4" s="1"/>
  <c r="M906" i="4"/>
  <c r="L906" i="4" s="1"/>
  <c r="M907" i="4"/>
  <c r="L907" i="4" s="1"/>
  <c r="M908" i="4"/>
  <c r="L908" i="4" s="1"/>
  <c r="M909" i="4"/>
  <c r="L909" i="4" s="1"/>
  <c r="M910" i="4"/>
  <c r="L910" i="4" s="1"/>
  <c r="M911" i="4"/>
  <c r="L911" i="4" s="1"/>
  <c r="M912" i="4"/>
  <c r="L912" i="4" s="1"/>
  <c r="M913" i="4"/>
  <c r="L913" i="4" s="1"/>
  <c r="M914" i="4"/>
  <c r="L914" i="4" s="1"/>
  <c r="M915" i="4"/>
  <c r="L915" i="4" s="1"/>
  <c r="M916" i="4"/>
  <c r="L916" i="4" s="1"/>
  <c r="M917" i="4"/>
  <c r="L917" i="4" s="1"/>
  <c r="M918" i="4"/>
  <c r="L918" i="4" s="1"/>
  <c r="M919" i="4"/>
  <c r="L919" i="4" s="1"/>
  <c r="M920" i="4"/>
  <c r="L920" i="4" s="1"/>
  <c r="M921" i="4"/>
  <c r="L921" i="4" s="1"/>
  <c r="M922" i="4"/>
  <c r="L922" i="4" s="1"/>
  <c r="M923" i="4"/>
  <c r="L923" i="4" s="1"/>
  <c r="M924" i="4"/>
  <c r="L924" i="4" s="1"/>
  <c r="M925" i="4"/>
  <c r="L925" i="4" s="1"/>
  <c r="M926" i="4"/>
  <c r="L926" i="4" s="1"/>
  <c r="M927" i="4"/>
  <c r="L927" i="4" s="1"/>
  <c r="M928" i="4"/>
  <c r="L928" i="4" s="1"/>
  <c r="M929" i="4"/>
  <c r="L929" i="4" s="1"/>
  <c r="M930" i="4"/>
  <c r="L930" i="4" s="1"/>
  <c r="M931" i="4"/>
  <c r="L931" i="4" s="1"/>
  <c r="M932" i="4"/>
  <c r="L932" i="4" s="1"/>
  <c r="M933" i="4"/>
  <c r="L933" i="4" s="1"/>
  <c r="M934" i="4"/>
  <c r="L934" i="4" s="1"/>
  <c r="M935" i="4"/>
  <c r="L935" i="4" s="1"/>
  <c r="M936" i="4"/>
  <c r="L936" i="4" s="1"/>
  <c r="M937" i="4"/>
  <c r="L937" i="4" s="1"/>
  <c r="M938" i="4"/>
  <c r="L938" i="4" s="1"/>
  <c r="M939" i="4"/>
  <c r="L939" i="4" s="1"/>
  <c r="M940" i="4"/>
  <c r="L940" i="4" s="1"/>
  <c r="M941" i="4"/>
  <c r="L941" i="4" s="1"/>
  <c r="M942" i="4"/>
  <c r="L942" i="4" s="1"/>
  <c r="M943" i="4"/>
  <c r="L943" i="4" s="1"/>
  <c r="M944" i="4"/>
  <c r="L944" i="4" s="1"/>
  <c r="M945" i="4"/>
  <c r="L945" i="4" s="1"/>
  <c r="M946" i="4"/>
  <c r="L946" i="4" s="1"/>
  <c r="M947" i="4"/>
  <c r="L947" i="4" s="1"/>
  <c r="M948" i="4"/>
  <c r="L948" i="4" s="1"/>
  <c r="M949" i="4"/>
  <c r="L949" i="4" s="1"/>
  <c r="M950" i="4"/>
  <c r="L950" i="4" s="1"/>
  <c r="M951" i="4"/>
  <c r="L951" i="4" s="1"/>
  <c r="M952" i="4"/>
  <c r="L952" i="4" s="1"/>
  <c r="M953" i="4"/>
  <c r="L953" i="4" s="1"/>
  <c r="M954" i="4"/>
  <c r="L954" i="4" s="1"/>
  <c r="M955" i="4"/>
  <c r="L955" i="4" s="1"/>
  <c r="M956" i="4"/>
  <c r="L956" i="4" s="1"/>
  <c r="M957" i="4"/>
  <c r="L957" i="4" s="1"/>
  <c r="M958" i="4"/>
  <c r="L958" i="4" s="1"/>
  <c r="M959" i="4"/>
  <c r="L959" i="4" s="1"/>
  <c r="M960" i="4"/>
  <c r="L960" i="4" s="1"/>
  <c r="M961" i="4"/>
  <c r="L961" i="4" s="1"/>
  <c r="M962" i="4"/>
  <c r="L962" i="4" s="1"/>
  <c r="M963" i="4"/>
  <c r="L963" i="4" s="1"/>
  <c r="M964" i="4"/>
  <c r="L964" i="4" s="1"/>
  <c r="M965" i="4"/>
  <c r="L965" i="4" s="1"/>
  <c r="M966" i="4"/>
  <c r="L966" i="4" s="1"/>
  <c r="M967" i="4"/>
  <c r="L967" i="4" s="1"/>
  <c r="M968" i="4"/>
  <c r="L968" i="4" s="1"/>
  <c r="M969" i="4"/>
  <c r="L969" i="4" s="1"/>
  <c r="M970" i="4"/>
  <c r="L970" i="4" s="1"/>
  <c r="M971" i="4"/>
  <c r="L971" i="4" s="1"/>
  <c r="M972" i="4"/>
  <c r="L972" i="4" s="1"/>
  <c r="M973" i="4"/>
  <c r="L973" i="4" s="1"/>
  <c r="M974" i="4"/>
  <c r="L974" i="4" s="1"/>
  <c r="M975" i="4"/>
  <c r="L975" i="4" s="1"/>
  <c r="M976" i="4"/>
  <c r="L976" i="4" s="1"/>
  <c r="M977" i="4"/>
  <c r="L977" i="4" s="1"/>
  <c r="M978" i="4"/>
  <c r="L978" i="4" s="1"/>
  <c r="M979" i="4"/>
  <c r="L979" i="4" s="1"/>
  <c r="M980" i="4"/>
  <c r="L980" i="4" s="1"/>
  <c r="M981" i="4"/>
  <c r="L981" i="4" s="1"/>
  <c r="M982" i="4"/>
  <c r="L982" i="4" s="1"/>
  <c r="M983" i="4"/>
  <c r="L983" i="4" s="1"/>
  <c r="M984" i="4"/>
  <c r="L984" i="4" s="1"/>
  <c r="M985" i="4"/>
  <c r="L985" i="4" s="1"/>
  <c r="M986" i="4"/>
  <c r="L986" i="4" s="1"/>
  <c r="M987" i="4"/>
  <c r="L987" i="4" s="1"/>
  <c r="M988" i="4"/>
  <c r="L988" i="4" s="1"/>
  <c r="M989" i="4"/>
  <c r="L989" i="4" s="1"/>
  <c r="M990" i="4"/>
  <c r="L990" i="4" s="1"/>
  <c r="M991" i="4"/>
  <c r="L991" i="4" s="1"/>
  <c r="M992" i="4"/>
  <c r="L992" i="4" s="1"/>
  <c r="M993" i="4"/>
  <c r="L993" i="4" s="1"/>
  <c r="M994" i="4"/>
  <c r="L994" i="4" s="1"/>
  <c r="M995" i="4"/>
  <c r="L995" i="4" s="1"/>
  <c r="M996" i="4"/>
  <c r="L996" i="4" s="1"/>
  <c r="M997" i="4"/>
  <c r="L997" i="4" s="1"/>
  <c r="M998" i="4"/>
  <c r="L998" i="4" s="1"/>
  <c r="M999" i="4"/>
  <c r="L999" i="4" s="1"/>
  <c r="M1000" i="4"/>
  <c r="L1000" i="4" s="1"/>
  <c r="M1001" i="4"/>
  <c r="L1001" i="4" s="1"/>
  <c r="M1002" i="4"/>
  <c r="L1002" i="4" s="1"/>
  <c r="M1003" i="4"/>
  <c r="L1003" i="4" s="1"/>
  <c r="M1004" i="4"/>
  <c r="L1004" i="4" s="1"/>
  <c r="M1005" i="4"/>
  <c r="L1005" i="4" s="1"/>
  <c r="M1006" i="4"/>
  <c r="L1006" i="4" s="1"/>
  <c r="M1007" i="4"/>
  <c r="L1007" i="4" s="1"/>
  <c r="M1008" i="4"/>
  <c r="L1008" i="4" s="1"/>
  <c r="M1009" i="4"/>
  <c r="L1009" i="4" s="1"/>
  <c r="M1010" i="4"/>
  <c r="L1010" i="4" s="1"/>
  <c r="M1011" i="4"/>
  <c r="L1011" i="4" s="1"/>
  <c r="M1012" i="4"/>
  <c r="L1012" i="4" s="1"/>
  <c r="M1013" i="4"/>
  <c r="L1013" i="4" s="1"/>
  <c r="M1014" i="4"/>
  <c r="L1014" i="4" s="1"/>
  <c r="M1015" i="4"/>
  <c r="L1015" i="4" s="1"/>
  <c r="M1016" i="4"/>
  <c r="L1016" i="4" s="1"/>
  <c r="M1017" i="4"/>
  <c r="L1017" i="4" s="1"/>
  <c r="M1018" i="4"/>
  <c r="L1018" i="4" s="1"/>
  <c r="M1019" i="4"/>
  <c r="L1019" i="4" s="1"/>
  <c r="M1020" i="4"/>
  <c r="L1020" i="4" s="1"/>
  <c r="M1021" i="4"/>
  <c r="L1021" i="4" s="1"/>
  <c r="M1022" i="4"/>
  <c r="L1022" i="4" s="1"/>
  <c r="M1023" i="4"/>
  <c r="L1023" i="4" s="1"/>
  <c r="M1024" i="4"/>
  <c r="L1024" i="4" s="1"/>
  <c r="M1025" i="4"/>
  <c r="L1025" i="4" s="1"/>
  <c r="M1026" i="4"/>
  <c r="L1026" i="4" s="1"/>
  <c r="M1027" i="4"/>
  <c r="L1027" i="4" s="1"/>
  <c r="M1028" i="4"/>
  <c r="L1028" i="4" s="1"/>
  <c r="M1029" i="4"/>
  <c r="L1029" i="4" s="1"/>
  <c r="M1030" i="4"/>
  <c r="L1030" i="4" s="1"/>
  <c r="M1031" i="4"/>
  <c r="L1031" i="4" s="1"/>
  <c r="M1032" i="4"/>
  <c r="L1032" i="4" s="1"/>
  <c r="M1033" i="4"/>
  <c r="L1033" i="4" s="1"/>
  <c r="M1034" i="4"/>
  <c r="L1034" i="4" s="1"/>
  <c r="M1035" i="4"/>
  <c r="L1035" i="4" s="1"/>
  <c r="M1036" i="4"/>
  <c r="L1036" i="4" s="1"/>
  <c r="M1037" i="4"/>
  <c r="L1037" i="4" s="1"/>
  <c r="M1038" i="4"/>
  <c r="L1038" i="4" s="1"/>
  <c r="M1039" i="4"/>
  <c r="L1039" i="4" s="1"/>
  <c r="M1040" i="4"/>
  <c r="L1040" i="4" s="1"/>
  <c r="M1041" i="4"/>
  <c r="L1041" i="4" s="1"/>
  <c r="M1042" i="4"/>
  <c r="L1042" i="4" s="1"/>
  <c r="M1043" i="4"/>
  <c r="L1043" i="4" s="1"/>
  <c r="M1044" i="4"/>
  <c r="L1044" i="4" s="1"/>
  <c r="M1045" i="4"/>
  <c r="L1045" i="4" s="1"/>
  <c r="M1046" i="4"/>
  <c r="L1046" i="4" s="1"/>
  <c r="M1047" i="4"/>
  <c r="L1047" i="4" s="1"/>
  <c r="M1048" i="4"/>
  <c r="L1048" i="4" s="1"/>
  <c r="M1049" i="4"/>
  <c r="L1049" i="4" s="1"/>
  <c r="M1050" i="4"/>
  <c r="L1050" i="4" s="1"/>
  <c r="M1051" i="4"/>
  <c r="L1051" i="4" s="1"/>
  <c r="M1052" i="4"/>
  <c r="L1052" i="4" s="1"/>
  <c r="M1053" i="4"/>
  <c r="L1053" i="4" s="1"/>
  <c r="M1054" i="4"/>
  <c r="L1054" i="4" s="1"/>
  <c r="M1055" i="4"/>
  <c r="L1055" i="4" s="1"/>
  <c r="M1056" i="4"/>
  <c r="L1056" i="4" s="1"/>
  <c r="M1057" i="4"/>
  <c r="L1057" i="4" s="1"/>
  <c r="M1058" i="4"/>
  <c r="L1058" i="4" s="1"/>
  <c r="M1059" i="4"/>
  <c r="L1059" i="4" s="1"/>
  <c r="M1060" i="4"/>
  <c r="L1060" i="4" s="1"/>
  <c r="M1061" i="4"/>
  <c r="L1061" i="4" s="1"/>
  <c r="M1062" i="4"/>
  <c r="L1062" i="4" s="1"/>
  <c r="M1063" i="4"/>
  <c r="L1063" i="4" s="1"/>
  <c r="M1064" i="4"/>
  <c r="L1064" i="4" s="1"/>
  <c r="M1065" i="4"/>
  <c r="L1065" i="4" s="1"/>
  <c r="M1066" i="4"/>
  <c r="L1066" i="4" s="1"/>
  <c r="M1067" i="4"/>
  <c r="L1067" i="4" s="1"/>
  <c r="M1068" i="4"/>
  <c r="L1068" i="4" s="1"/>
  <c r="M1069" i="4"/>
  <c r="L1069" i="4" s="1"/>
  <c r="M1070" i="4"/>
  <c r="L1070" i="4" s="1"/>
  <c r="M1071" i="4"/>
  <c r="L1071" i="4" s="1"/>
  <c r="M1072" i="4"/>
  <c r="L1072" i="4" s="1"/>
  <c r="M1073" i="4"/>
  <c r="L1073" i="4" s="1"/>
  <c r="M1074" i="4"/>
  <c r="L1074" i="4" s="1"/>
  <c r="M1075" i="4"/>
  <c r="L1075" i="4" s="1"/>
  <c r="M1076" i="4"/>
  <c r="L1076" i="4" s="1"/>
  <c r="M1077" i="4"/>
  <c r="L1077" i="4" s="1"/>
  <c r="M1078" i="4"/>
  <c r="L1078" i="4" s="1"/>
  <c r="M1079" i="4"/>
  <c r="L1079" i="4" s="1"/>
  <c r="M1080" i="4"/>
  <c r="L1080" i="4" s="1"/>
  <c r="M1081" i="4"/>
  <c r="L1081" i="4" s="1"/>
  <c r="M1082" i="4"/>
  <c r="L1082" i="4" s="1"/>
  <c r="M1083" i="4"/>
  <c r="L1083" i="4" s="1"/>
  <c r="M1084" i="4"/>
  <c r="L1084" i="4" s="1"/>
  <c r="M1085" i="4"/>
  <c r="L1085" i="4" s="1"/>
  <c r="M1086" i="4"/>
  <c r="L1086" i="4" s="1"/>
  <c r="M1087" i="4"/>
  <c r="L1087" i="4" s="1"/>
  <c r="M1088" i="4"/>
  <c r="L1088" i="4" s="1"/>
  <c r="M1089" i="4"/>
  <c r="L1089" i="4" s="1"/>
  <c r="M1090" i="4"/>
  <c r="L1090" i="4" s="1"/>
  <c r="M1091" i="4"/>
  <c r="L1091" i="4" s="1"/>
  <c r="M1092" i="4"/>
  <c r="L1092" i="4" s="1"/>
  <c r="M1093" i="4"/>
  <c r="L1093" i="4" s="1"/>
  <c r="M1094" i="4"/>
  <c r="L1094" i="4" s="1"/>
  <c r="M1095" i="4"/>
  <c r="L1095" i="4" s="1"/>
  <c r="M1096" i="4"/>
  <c r="L1096" i="4" s="1"/>
  <c r="M1097" i="4"/>
  <c r="L1097" i="4" s="1"/>
  <c r="M1098" i="4"/>
  <c r="L1098" i="4" s="1"/>
  <c r="M1099" i="4"/>
  <c r="L1099" i="4" s="1"/>
  <c r="M1100" i="4"/>
  <c r="L1100" i="4" s="1"/>
  <c r="M1101" i="4"/>
  <c r="L1101" i="4" s="1"/>
  <c r="M1102" i="4"/>
  <c r="L1102" i="4" s="1"/>
  <c r="M1103" i="4"/>
  <c r="L1103" i="4" s="1"/>
  <c r="M1104" i="4"/>
  <c r="L1104" i="4" s="1"/>
  <c r="M1105" i="4"/>
  <c r="L1105" i="4" s="1"/>
  <c r="M1106" i="4"/>
  <c r="L1106" i="4" s="1"/>
  <c r="M1107" i="4"/>
  <c r="L1107" i="4" s="1"/>
  <c r="M1108" i="4"/>
  <c r="L1108" i="4" s="1"/>
  <c r="M1109" i="4"/>
  <c r="L1109" i="4" s="1"/>
  <c r="M1110" i="4"/>
  <c r="L1110" i="4" s="1"/>
  <c r="M1111" i="4"/>
  <c r="L1111" i="4" s="1"/>
  <c r="M1112" i="4"/>
  <c r="L1112" i="4" s="1"/>
  <c r="M1113" i="4"/>
  <c r="L1113" i="4" s="1"/>
  <c r="M1114" i="4"/>
  <c r="L1114" i="4" s="1"/>
  <c r="M1115" i="4"/>
  <c r="L1115" i="4" s="1"/>
  <c r="M1116" i="4"/>
  <c r="L1116" i="4" s="1"/>
  <c r="M1117" i="4"/>
  <c r="L1117" i="4" s="1"/>
  <c r="M1118" i="4"/>
  <c r="L1118" i="4" s="1"/>
  <c r="M1119" i="4"/>
  <c r="L1119" i="4" s="1"/>
  <c r="M1120" i="4"/>
  <c r="L1120" i="4" s="1"/>
  <c r="M1121" i="4"/>
  <c r="L1121" i="4" s="1"/>
  <c r="M1122" i="4"/>
  <c r="L1122" i="4" s="1"/>
  <c r="M1123" i="4"/>
  <c r="L1123" i="4" s="1"/>
  <c r="M1124" i="4"/>
  <c r="L1124" i="4" s="1"/>
  <c r="M1125" i="4"/>
  <c r="L1125" i="4" s="1"/>
  <c r="M1126" i="4"/>
  <c r="L1126" i="4" s="1"/>
  <c r="M1127" i="4"/>
  <c r="L1127" i="4" s="1"/>
  <c r="M1128" i="4"/>
  <c r="L1128" i="4" s="1"/>
  <c r="M1129" i="4"/>
  <c r="L1129" i="4" s="1"/>
  <c r="M1130" i="4"/>
  <c r="L1130" i="4" s="1"/>
  <c r="M1131" i="4"/>
  <c r="L1131" i="4" s="1"/>
  <c r="M1132" i="4"/>
  <c r="L1132" i="4" s="1"/>
  <c r="M1133" i="4"/>
  <c r="L1133" i="4" s="1"/>
  <c r="M1134" i="4"/>
  <c r="L1134" i="4" s="1"/>
  <c r="M1135" i="4"/>
  <c r="L1135" i="4" s="1"/>
  <c r="M1136" i="4"/>
  <c r="L1136" i="4" s="1"/>
  <c r="M1137" i="4"/>
  <c r="L1137" i="4" s="1"/>
  <c r="M1138" i="4"/>
  <c r="L1138" i="4" s="1"/>
  <c r="M1139" i="4"/>
  <c r="L1139" i="4" s="1"/>
  <c r="M1140" i="4"/>
  <c r="L1140" i="4" s="1"/>
  <c r="M1141" i="4"/>
  <c r="L1141" i="4" s="1"/>
  <c r="M1142" i="4"/>
  <c r="L1142" i="4" s="1"/>
  <c r="M1143" i="4"/>
  <c r="L1143" i="4" s="1"/>
  <c r="M1144" i="4"/>
  <c r="L1144" i="4" s="1"/>
  <c r="M1145" i="4"/>
  <c r="L1145" i="4" s="1"/>
  <c r="M1146" i="4"/>
  <c r="L1146" i="4" s="1"/>
  <c r="M1147" i="4"/>
  <c r="L1147" i="4" s="1"/>
  <c r="M1148" i="4"/>
  <c r="L1148" i="4" s="1"/>
  <c r="M1149" i="4"/>
  <c r="L1149" i="4" s="1"/>
  <c r="M1150" i="4"/>
  <c r="L1150" i="4" s="1"/>
  <c r="M1151" i="4"/>
  <c r="L1151" i="4" s="1"/>
  <c r="M1152" i="4"/>
  <c r="L1152" i="4" s="1"/>
  <c r="M1153" i="4"/>
  <c r="L1153" i="4" s="1"/>
  <c r="M1154" i="4"/>
  <c r="L1154" i="4" s="1"/>
  <c r="M1155" i="4"/>
  <c r="L1155" i="4" s="1"/>
  <c r="M1156" i="4"/>
  <c r="L1156" i="4" s="1"/>
  <c r="M1157" i="4"/>
  <c r="L1157" i="4" s="1"/>
  <c r="M1158" i="4"/>
  <c r="L1158" i="4" s="1"/>
  <c r="M1159" i="4"/>
  <c r="L1159" i="4" s="1"/>
  <c r="M1160" i="4"/>
  <c r="L1160" i="4" s="1"/>
  <c r="M1161" i="4"/>
  <c r="L1161" i="4" s="1"/>
  <c r="M1162" i="4"/>
  <c r="L1162" i="4" s="1"/>
  <c r="M1163" i="4"/>
  <c r="L1163" i="4" s="1"/>
  <c r="M1164" i="4"/>
  <c r="L1164" i="4" s="1"/>
  <c r="M1165" i="4"/>
  <c r="L1165" i="4" s="1"/>
  <c r="M1166" i="4"/>
  <c r="L1166" i="4" s="1"/>
  <c r="M1167" i="4"/>
  <c r="L1167" i="4" s="1"/>
  <c r="M1168" i="4"/>
  <c r="L1168" i="4" s="1"/>
  <c r="M1169" i="4"/>
  <c r="L1169" i="4" s="1"/>
  <c r="M1170" i="4"/>
  <c r="L1170" i="4" s="1"/>
  <c r="M1171" i="4"/>
  <c r="L1171" i="4" s="1"/>
  <c r="M1172" i="4"/>
  <c r="L1172" i="4" s="1"/>
  <c r="M1173" i="4"/>
  <c r="L1173" i="4" s="1"/>
  <c r="M1174" i="4"/>
  <c r="L1174" i="4" s="1"/>
  <c r="M1175" i="4"/>
  <c r="L1175" i="4" s="1"/>
  <c r="M1176" i="4"/>
  <c r="L1176" i="4" s="1"/>
  <c r="M1177" i="4"/>
  <c r="L1177" i="4" s="1"/>
  <c r="M1178" i="4"/>
  <c r="L1178" i="4" s="1"/>
  <c r="M1179" i="4"/>
  <c r="L1179" i="4" s="1"/>
  <c r="M1180" i="4"/>
  <c r="L1180" i="4" s="1"/>
  <c r="M1181" i="4"/>
  <c r="L1181" i="4" s="1"/>
  <c r="M1182" i="4"/>
  <c r="L1182" i="4" s="1"/>
  <c r="M1183" i="4"/>
  <c r="L1183" i="4" s="1"/>
  <c r="M1184" i="4"/>
  <c r="L1184" i="4" s="1"/>
  <c r="M1185" i="4"/>
  <c r="L1185" i="4" s="1"/>
  <c r="M1186" i="4"/>
  <c r="L1186" i="4" s="1"/>
  <c r="M1187" i="4"/>
  <c r="L1187" i="4" s="1"/>
  <c r="M1188" i="4"/>
  <c r="L1188" i="4" s="1"/>
  <c r="M1189" i="4"/>
  <c r="L1189" i="4" s="1"/>
  <c r="M1190" i="4"/>
  <c r="L1190" i="4" s="1"/>
  <c r="M1191" i="4"/>
  <c r="L1191" i="4" s="1"/>
  <c r="M1192" i="4"/>
  <c r="L1192" i="4" s="1"/>
  <c r="M1193" i="4"/>
  <c r="L1193" i="4" s="1"/>
  <c r="M1194" i="4"/>
  <c r="L1194" i="4" s="1"/>
  <c r="M1195" i="4"/>
  <c r="L1195" i="4" s="1"/>
  <c r="M1196" i="4"/>
  <c r="L1196" i="4" s="1"/>
  <c r="M1197" i="4"/>
  <c r="L1197" i="4" s="1"/>
  <c r="M1198" i="4"/>
  <c r="L1198" i="4" s="1"/>
  <c r="M1199" i="4"/>
  <c r="L1199" i="4" s="1"/>
  <c r="M1200" i="4"/>
  <c r="L1200" i="4" s="1"/>
  <c r="M1201" i="4"/>
  <c r="L1201" i="4" s="1"/>
  <c r="M1202" i="4"/>
  <c r="L1202" i="4" s="1"/>
  <c r="M1203" i="4"/>
  <c r="L1203" i="4" s="1"/>
  <c r="M1204" i="4"/>
  <c r="L1204" i="4" s="1"/>
  <c r="L72" i="4"/>
  <c r="L123" i="4"/>
  <c r="L214" i="4"/>
  <c r="L238" i="4"/>
  <c r="Q624" i="4"/>
  <c r="Q623" i="4"/>
  <c r="Q622" i="4"/>
  <c r="Q621" i="4"/>
  <c r="Q620" i="4"/>
  <c r="Q619" i="4"/>
  <c r="Q618" i="4"/>
  <c r="Q617" i="4"/>
  <c r="Q616" i="4"/>
  <c r="Q615" i="4"/>
  <c r="Q614" i="4"/>
  <c r="Q613" i="4"/>
  <c r="Q612" i="4"/>
  <c r="Q611" i="4"/>
  <c r="Q596" i="4"/>
  <c r="Q595" i="4"/>
  <c r="Q594" i="4"/>
  <c r="Q593" i="4"/>
  <c r="Q592" i="4"/>
  <c r="Q591" i="4"/>
  <c r="Q590" i="4"/>
  <c r="Q589" i="4"/>
  <c r="Q588" i="4"/>
  <c r="Q587" i="4"/>
  <c r="Q586" i="4"/>
  <c r="Q585" i="4"/>
  <c r="Q584" i="4"/>
  <c r="Q583" i="4"/>
  <c r="A2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4" i="4"/>
  <c r="R1216" i="4" l="1"/>
  <c r="R1219" i="4"/>
  <c r="R1213" i="4"/>
  <c r="R1220" i="4"/>
  <c r="R1217" i="4"/>
  <c r="R1218" i="4"/>
  <c r="R1214" i="4"/>
  <c r="R1215" i="4"/>
  <c r="R1212" i="4"/>
  <c r="C1212" i="4"/>
  <c r="J40" i="2" s="1"/>
  <c r="C1213" i="4"/>
  <c r="J41" i="2" s="1"/>
  <c r="C1216" i="4"/>
  <c r="J44" i="2" s="1"/>
  <c r="C1217" i="4"/>
  <c r="J45" i="2" s="1"/>
  <c r="C1214" i="4"/>
  <c r="J42" i="2" s="1"/>
  <c r="C1219" i="4"/>
  <c r="J47" i="2" s="1"/>
  <c r="C1220" i="4"/>
  <c r="J48" i="2" s="1"/>
  <c r="C1215" i="4"/>
  <c r="J43" i="2" s="1"/>
  <c r="C1218" i="4"/>
  <c r="J46" i="2" s="1"/>
  <c r="R1208" i="4"/>
  <c r="R1210" i="4"/>
  <c r="R1209" i="4"/>
  <c r="R1207" i="4"/>
  <c r="R1211" i="4"/>
  <c r="R1206" i="4"/>
  <c r="R1205" i="4"/>
  <c r="C1205" i="4"/>
  <c r="J33" i="2" s="1"/>
  <c r="C1211" i="4"/>
  <c r="J39" i="2" s="1"/>
  <c r="C1210" i="4"/>
  <c r="J38" i="2" s="1"/>
  <c r="C1209" i="4"/>
  <c r="J37" i="2" s="1"/>
  <c r="C1208" i="4"/>
  <c r="J36" i="2" s="1"/>
  <c r="C1207" i="4"/>
  <c r="J35" i="2" s="1"/>
  <c r="C1206" i="4"/>
  <c r="J34" i="2" s="1"/>
  <c r="C1193" i="4"/>
  <c r="C1108" i="4"/>
  <c r="C980" i="4"/>
  <c r="C852" i="4"/>
  <c r="C724" i="4"/>
  <c r="C452" i="4"/>
  <c r="C1182" i="4"/>
  <c r="C1092" i="4"/>
  <c r="C964" i="4"/>
  <c r="C836" i="4"/>
  <c r="C708" i="4"/>
  <c r="C409" i="4"/>
  <c r="C1172" i="4"/>
  <c r="C1076" i="4"/>
  <c r="C948" i="4"/>
  <c r="C820" i="4"/>
  <c r="C365" i="4"/>
  <c r="C1161" i="4"/>
  <c r="C1060" i="4"/>
  <c r="C932" i="4"/>
  <c r="C804" i="4"/>
  <c r="C665" i="4"/>
  <c r="C324" i="4"/>
  <c r="C692" i="4"/>
  <c r="C1150" i="4"/>
  <c r="C1044" i="4"/>
  <c r="C916" i="4"/>
  <c r="C788" i="4"/>
  <c r="C621" i="4"/>
  <c r="C281" i="4"/>
  <c r="C1140" i="4"/>
  <c r="C1028" i="4"/>
  <c r="C900" i="4"/>
  <c r="C772" i="4"/>
  <c r="C580" i="4"/>
  <c r="C237" i="4"/>
  <c r="C1129" i="4"/>
  <c r="C1012" i="4"/>
  <c r="C884" i="4"/>
  <c r="C756" i="4"/>
  <c r="C537" i="4"/>
  <c r="C173" i="4"/>
  <c r="C1204" i="4"/>
  <c r="C1118" i="4"/>
  <c r="C996" i="4"/>
  <c r="C868" i="4"/>
  <c r="C740" i="4"/>
  <c r="C493" i="4"/>
  <c r="C89" i="4"/>
  <c r="C1202" i="4"/>
  <c r="C1191" i="4"/>
  <c r="C1181" i="4"/>
  <c r="C1170" i="4"/>
  <c r="C1159" i="4"/>
  <c r="C1149" i="4"/>
  <c r="C1138" i="4"/>
  <c r="C1127" i="4"/>
  <c r="C1117" i="4"/>
  <c r="C1106" i="4"/>
  <c r="C1090" i="4"/>
  <c r="C1074" i="4"/>
  <c r="C1058" i="4"/>
  <c r="C1042" i="4"/>
  <c r="C1026" i="4"/>
  <c r="C1010" i="4"/>
  <c r="C994" i="4"/>
  <c r="C978" i="4"/>
  <c r="C962" i="4"/>
  <c r="C946" i="4"/>
  <c r="C930" i="4"/>
  <c r="C914" i="4"/>
  <c r="C898" i="4"/>
  <c r="C882" i="4"/>
  <c r="C866" i="4"/>
  <c r="C850" i="4"/>
  <c r="C834" i="4"/>
  <c r="C818" i="4"/>
  <c r="C802" i="4"/>
  <c r="C786" i="4"/>
  <c r="C770" i="4"/>
  <c r="C754" i="4"/>
  <c r="C738" i="4"/>
  <c r="C722" i="4"/>
  <c r="C706" i="4"/>
  <c r="C690" i="4"/>
  <c r="C660" i="4"/>
  <c r="C617" i="4"/>
  <c r="C573" i="4"/>
  <c r="C532" i="4"/>
  <c r="C489" i="4"/>
  <c r="C445" i="4"/>
  <c r="C404" i="4"/>
  <c r="C361" i="4"/>
  <c r="C317" i="4"/>
  <c r="C276" i="4"/>
  <c r="C233" i="4"/>
  <c r="C169" i="4"/>
  <c r="C84" i="4"/>
  <c r="C1201" i="4"/>
  <c r="C1190" i="4"/>
  <c r="C1180" i="4"/>
  <c r="C1169" i="4"/>
  <c r="C1158" i="4"/>
  <c r="C1148" i="4"/>
  <c r="C1137" i="4"/>
  <c r="C1126" i="4"/>
  <c r="C1116" i="4"/>
  <c r="C1102" i="4"/>
  <c r="C1086" i="4"/>
  <c r="C1070" i="4"/>
  <c r="C1054" i="4"/>
  <c r="C1038" i="4"/>
  <c r="C1022" i="4"/>
  <c r="C1006" i="4"/>
  <c r="C990" i="4"/>
  <c r="C974" i="4"/>
  <c r="C958" i="4"/>
  <c r="C942" i="4"/>
  <c r="C926" i="4"/>
  <c r="C910" i="4"/>
  <c r="C894" i="4"/>
  <c r="C878" i="4"/>
  <c r="C862" i="4"/>
  <c r="C846" i="4"/>
  <c r="C830" i="4"/>
  <c r="C814" i="4"/>
  <c r="C798" i="4"/>
  <c r="C782" i="4"/>
  <c r="C766" i="4"/>
  <c r="C750" i="4"/>
  <c r="C734" i="4"/>
  <c r="C718" i="4"/>
  <c r="C702" i="4"/>
  <c r="C686" i="4"/>
  <c r="C649" i="4"/>
  <c r="C605" i="4"/>
  <c r="C564" i="4"/>
  <c r="C521" i="4"/>
  <c r="C477" i="4"/>
  <c r="C436" i="4"/>
  <c r="C393" i="4"/>
  <c r="C349" i="4"/>
  <c r="C308" i="4"/>
  <c r="C265" i="4"/>
  <c r="C221" i="4"/>
  <c r="C153" i="4"/>
  <c r="C68" i="4"/>
  <c r="C1199" i="4"/>
  <c r="C1189" i="4"/>
  <c r="C1178" i="4"/>
  <c r="C1167" i="4"/>
  <c r="C1157" i="4"/>
  <c r="C1146" i="4"/>
  <c r="C1135" i="4"/>
  <c r="C1125" i="4"/>
  <c r="C1114" i="4"/>
  <c r="C1101" i="4"/>
  <c r="C1085" i="4"/>
  <c r="C1069" i="4"/>
  <c r="C1053" i="4"/>
  <c r="C1037" i="4"/>
  <c r="C1021" i="4"/>
  <c r="C1005" i="4"/>
  <c r="C989" i="4"/>
  <c r="C973" i="4"/>
  <c r="C957" i="4"/>
  <c r="C941" i="4"/>
  <c r="C925" i="4"/>
  <c r="C909" i="4"/>
  <c r="C893" i="4"/>
  <c r="C877" i="4"/>
  <c r="C861" i="4"/>
  <c r="C845" i="4"/>
  <c r="C829" i="4"/>
  <c r="C813" i="4"/>
  <c r="C797" i="4"/>
  <c r="C781" i="4"/>
  <c r="C765" i="4"/>
  <c r="C749" i="4"/>
  <c r="C733" i="4"/>
  <c r="C717" i="4"/>
  <c r="C701" i="4"/>
  <c r="C685" i="4"/>
  <c r="C645" i="4"/>
  <c r="C604" i="4"/>
  <c r="C561" i="4"/>
  <c r="C517" i="4"/>
  <c r="C476" i="4"/>
  <c r="C433" i="4"/>
  <c r="C389" i="4"/>
  <c r="C348" i="4"/>
  <c r="C305" i="4"/>
  <c r="C261" i="4"/>
  <c r="C220" i="4"/>
  <c r="C148" i="4"/>
  <c r="C61" i="4"/>
  <c r="C1198" i="4"/>
  <c r="C1188" i="4"/>
  <c r="C1177" i="4"/>
  <c r="C1166" i="4"/>
  <c r="C1156" i="4"/>
  <c r="C1145" i="4"/>
  <c r="C1134" i="4"/>
  <c r="C1124" i="4"/>
  <c r="C1113" i="4"/>
  <c r="C1100" i="4"/>
  <c r="C1084" i="4"/>
  <c r="C1068" i="4"/>
  <c r="C1052" i="4"/>
  <c r="C1036" i="4"/>
  <c r="C1020" i="4"/>
  <c r="C1004" i="4"/>
  <c r="C988" i="4"/>
  <c r="C972" i="4"/>
  <c r="C956" i="4"/>
  <c r="C940" i="4"/>
  <c r="C924" i="4"/>
  <c r="C908" i="4"/>
  <c r="C892" i="4"/>
  <c r="C876" i="4"/>
  <c r="C860" i="4"/>
  <c r="C844" i="4"/>
  <c r="C828" i="4"/>
  <c r="C812" i="4"/>
  <c r="C796" i="4"/>
  <c r="C780" i="4"/>
  <c r="C764" i="4"/>
  <c r="C748" i="4"/>
  <c r="C732" i="4"/>
  <c r="C716" i="4"/>
  <c r="C700" i="4"/>
  <c r="C684" i="4"/>
  <c r="C644" i="4"/>
  <c r="C601" i="4"/>
  <c r="C557" i="4"/>
  <c r="C516" i="4"/>
  <c r="C473" i="4"/>
  <c r="C429" i="4"/>
  <c r="C388" i="4"/>
  <c r="C345" i="4"/>
  <c r="C301" i="4"/>
  <c r="C260" i="4"/>
  <c r="C217" i="4"/>
  <c r="C132" i="4"/>
  <c r="C1197" i="4"/>
  <c r="C1186" i="4"/>
  <c r="C1175" i="4"/>
  <c r="C1165" i="4"/>
  <c r="C1154" i="4"/>
  <c r="C1143" i="4"/>
  <c r="C1133" i="4"/>
  <c r="C1122" i="4"/>
  <c r="C1111" i="4"/>
  <c r="C1098" i="4"/>
  <c r="C1082" i="4"/>
  <c r="C1066" i="4"/>
  <c r="C1050" i="4"/>
  <c r="C1034" i="4"/>
  <c r="C1018" i="4"/>
  <c r="C1002" i="4"/>
  <c r="C986" i="4"/>
  <c r="C970" i="4"/>
  <c r="C954" i="4"/>
  <c r="C938" i="4"/>
  <c r="C922" i="4"/>
  <c r="C906" i="4"/>
  <c r="C890" i="4"/>
  <c r="C874" i="4"/>
  <c r="C858" i="4"/>
  <c r="C842" i="4"/>
  <c r="C826" i="4"/>
  <c r="C810" i="4"/>
  <c r="C794" i="4"/>
  <c r="C778" i="4"/>
  <c r="C762" i="4"/>
  <c r="C746" i="4"/>
  <c r="C730" i="4"/>
  <c r="C714" i="4"/>
  <c r="C698" i="4"/>
  <c r="C679" i="4"/>
  <c r="C637" i="4"/>
  <c r="C596" i="4"/>
  <c r="C553" i="4"/>
  <c r="C509" i="4"/>
  <c r="C468" i="4"/>
  <c r="C425" i="4"/>
  <c r="C381" i="4"/>
  <c r="C340" i="4"/>
  <c r="C297" i="4"/>
  <c r="C253" i="4"/>
  <c r="C212" i="4"/>
  <c r="C125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C206" i="4"/>
  <c r="C214" i="4"/>
  <c r="C222" i="4"/>
  <c r="C230" i="4"/>
  <c r="C238" i="4"/>
  <c r="C246" i="4"/>
  <c r="C254" i="4"/>
  <c r="C262" i="4"/>
  <c r="C270" i="4"/>
  <c r="C278" i="4"/>
  <c r="C286" i="4"/>
  <c r="J27" i="2" s="1"/>
  <c r="C294" i="4"/>
  <c r="C302" i="4"/>
  <c r="C310" i="4"/>
  <c r="C318" i="4"/>
  <c r="C326" i="4"/>
  <c r="C334" i="4"/>
  <c r="C342" i="4"/>
  <c r="C350" i="4"/>
  <c r="C358" i="4"/>
  <c r="C366" i="4"/>
  <c r="C374" i="4"/>
  <c r="C382" i="4"/>
  <c r="C390" i="4"/>
  <c r="C398" i="4"/>
  <c r="C406" i="4"/>
  <c r="C414" i="4"/>
  <c r="C422" i="4"/>
  <c r="C430" i="4"/>
  <c r="C438" i="4"/>
  <c r="C446" i="4"/>
  <c r="C454" i="4"/>
  <c r="C462" i="4"/>
  <c r="C470" i="4"/>
  <c r="C478" i="4"/>
  <c r="C486" i="4"/>
  <c r="C494" i="4"/>
  <c r="C502" i="4"/>
  <c r="C510" i="4"/>
  <c r="C518" i="4"/>
  <c r="C526" i="4"/>
  <c r="C534" i="4"/>
  <c r="C542" i="4"/>
  <c r="C550" i="4"/>
  <c r="C558" i="4"/>
  <c r="C566" i="4"/>
  <c r="C574" i="4"/>
  <c r="C582" i="4"/>
  <c r="C590" i="4"/>
  <c r="C598" i="4"/>
  <c r="C606" i="4"/>
  <c r="C614" i="4"/>
  <c r="C622" i="4"/>
  <c r="C630" i="4"/>
  <c r="C638" i="4"/>
  <c r="C646" i="4"/>
  <c r="C654" i="4"/>
  <c r="C662" i="4"/>
  <c r="C670" i="4"/>
  <c r="C678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C207" i="4"/>
  <c r="C215" i="4"/>
  <c r="C223" i="4"/>
  <c r="C231" i="4"/>
  <c r="C239" i="4"/>
  <c r="C247" i="4"/>
  <c r="C255" i="4"/>
  <c r="C263" i="4"/>
  <c r="C271" i="4"/>
  <c r="C279" i="4"/>
  <c r="C287" i="4"/>
  <c r="C295" i="4"/>
  <c r="C303" i="4"/>
  <c r="C311" i="4"/>
  <c r="C319" i="4"/>
  <c r="C327" i="4"/>
  <c r="C335" i="4"/>
  <c r="C343" i="4"/>
  <c r="C351" i="4"/>
  <c r="C359" i="4"/>
  <c r="C367" i="4"/>
  <c r="C375" i="4"/>
  <c r="C383" i="4"/>
  <c r="C391" i="4"/>
  <c r="C399" i="4"/>
  <c r="C407" i="4"/>
  <c r="C415" i="4"/>
  <c r="C423" i="4"/>
  <c r="C431" i="4"/>
  <c r="C439" i="4"/>
  <c r="C447" i="4"/>
  <c r="C455" i="4"/>
  <c r="C463" i="4"/>
  <c r="C471" i="4"/>
  <c r="C479" i="4"/>
  <c r="C487" i="4"/>
  <c r="C495" i="4"/>
  <c r="C503" i="4"/>
  <c r="C511" i="4"/>
  <c r="C519" i="4"/>
  <c r="C527" i="4"/>
  <c r="C535" i="4"/>
  <c r="C543" i="4"/>
  <c r="C551" i="4"/>
  <c r="C559" i="4"/>
  <c r="C567" i="4"/>
  <c r="C575" i="4"/>
  <c r="C583" i="4"/>
  <c r="C591" i="4"/>
  <c r="C599" i="4"/>
  <c r="C607" i="4"/>
  <c r="C615" i="4"/>
  <c r="C623" i="4"/>
  <c r="C631" i="4"/>
  <c r="C639" i="4"/>
  <c r="C647" i="4"/>
  <c r="C655" i="4"/>
  <c r="C663" i="4"/>
  <c r="C671" i="4"/>
  <c r="C56" i="4"/>
  <c r="C64" i="4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C200" i="4"/>
  <c r="C208" i="4"/>
  <c r="C216" i="4"/>
  <c r="C224" i="4"/>
  <c r="C232" i="4"/>
  <c r="C240" i="4"/>
  <c r="C248" i="4"/>
  <c r="C256" i="4"/>
  <c r="C264" i="4"/>
  <c r="C272" i="4"/>
  <c r="C280" i="4"/>
  <c r="C288" i="4"/>
  <c r="C296" i="4"/>
  <c r="C304" i="4"/>
  <c r="C312" i="4"/>
  <c r="C320" i="4"/>
  <c r="C328" i="4"/>
  <c r="C336" i="4"/>
  <c r="C344" i="4"/>
  <c r="C352" i="4"/>
  <c r="C360" i="4"/>
  <c r="C368" i="4"/>
  <c r="C376" i="4"/>
  <c r="C384" i="4"/>
  <c r="C392" i="4"/>
  <c r="C400" i="4"/>
  <c r="C408" i="4"/>
  <c r="C416" i="4"/>
  <c r="C424" i="4"/>
  <c r="C432" i="4"/>
  <c r="C440" i="4"/>
  <c r="C448" i="4"/>
  <c r="C456" i="4"/>
  <c r="C464" i="4"/>
  <c r="C472" i="4"/>
  <c r="C480" i="4"/>
  <c r="C488" i="4"/>
  <c r="C496" i="4"/>
  <c r="C504" i="4"/>
  <c r="C512" i="4"/>
  <c r="C520" i="4"/>
  <c r="C528" i="4"/>
  <c r="C536" i="4"/>
  <c r="C544" i="4"/>
  <c r="C552" i="4"/>
  <c r="C560" i="4"/>
  <c r="C568" i="4"/>
  <c r="C576" i="4"/>
  <c r="C584" i="4"/>
  <c r="C592" i="4"/>
  <c r="C600" i="4"/>
  <c r="C608" i="4"/>
  <c r="C616" i="4"/>
  <c r="C624" i="4"/>
  <c r="C632" i="4"/>
  <c r="C640" i="4"/>
  <c r="C648" i="4"/>
  <c r="C656" i="4"/>
  <c r="C664" i="4"/>
  <c r="C672" i="4"/>
  <c r="C68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C210" i="4"/>
  <c r="C218" i="4"/>
  <c r="C226" i="4"/>
  <c r="C234" i="4"/>
  <c r="C242" i="4"/>
  <c r="C250" i="4"/>
  <c r="C258" i="4"/>
  <c r="C266" i="4"/>
  <c r="C274" i="4"/>
  <c r="C282" i="4"/>
  <c r="C290" i="4"/>
  <c r="C298" i="4"/>
  <c r="C306" i="4"/>
  <c r="C314" i="4"/>
  <c r="C322" i="4"/>
  <c r="C330" i="4"/>
  <c r="C338" i="4"/>
  <c r="C346" i="4"/>
  <c r="C354" i="4"/>
  <c r="C362" i="4"/>
  <c r="C370" i="4"/>
  <c r="C378" i="4"/>
  <c r="C386" i="4"/>
  <c r="C394" i="4"/>
  <c r="C402" i="4"/>
  <c r="C410" i="4"/>
  <c r="C418" i="4"/>
  <c r="C426" i="4"/>
  <c r="C434" i="4"/>
  <c r="C442" i="4"/>
  <c r="C450" i="4"/>
  <c r="C458" i="4"/>
  <c r="C466" i="4"/>
  <c r="C474" i="4"/>
  <c r="C482" i="4"/>
  <c r="C490" i="4"/>
  <c r="C498" i="4"/>
  <c r="C506" i="4"/>
  <c r="C514" i="4"/>
  <c r="C522" i="4"/>
  <c r="C530" i="4"/>
  <c r="C538" i="4"/>
  <c r="C546" i="4"/>
  <c r="C554" i="4"/>
  <c r="C562" i="4"/>
  <c r="C570" i="4"/>
  <c r="C578" i="4"/>
  <c r="C586" i="4"/>
  <c r="C594" i="4"/>
  <c r="C602" i="4"/>
  <c r="C610" i="4"/>
  <c r="C618" i="4"/>
  <c r="C626" i="4"/>
  <c r="C634" i="4"/>
  <c r="C642" i="4"/>
  <c r="C650" i="4"/>
  <c r="C658" i="4"/>
  <c r="C666" i="4"/>
  <c r="C674" i="4"/>
  <c r="C682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C203" i="4"/>
  <c r="C211" i="4"/>
  <c r="C219" i="4"/>
  <c r="C227" i="4"/>
  <c r="C235" i="4"/>
  <c r="C243" i="4"/>
  <c r="C251" i="4"/>
  <c r="C259" i="4"/>
  <c r="C267" i="4"/>
  <c r="C275" i="4"/>
  <c r="C283" i="4"/>
  <c r="C291" i="4"/>
  <c r="C299" i="4"/>
  <c r="C307" i="4"/>
  <c r="C315" i="4"/>
  <c r="C323" i="4"/>
  <c r="C331" i="4"/>
  <c r="C339" i="4"/>
  <c r="C347" i="4"/>
  <c r="C355" i="4"/>
  <c r="C363" i="4"/>
  <c r="C371" i="4"/>
  <c r="C379" i="4"/>
  <c r="C387" i="4"/>
  <c r="C395" i="4"/>
  <c r="C403" i="4"/>
  <c r="C411" i="4"/>
  <c r="C419" i="4"/>
  <c r="C427" i="4"/>
  <c r="C435" i="4"/>
  <c r="C443" i="4"/>
  <c r="C451" i="4"/>
  <c r="C459" i="4"/>
  <c r="C467" i="4"/>
  <c r="C475" i="4"/>
  <c r="C483" i="4"/>
  <c r="C491" i="4"/>
  <c r="C499" i="4"/>
  <c r="C507" i="4"/>
  <c r="C515" i="4"/>
  <c r="C523" i="4"/>
  <c r="C531" i="4"/>
  <c r="C539" i="4"/>
  <c r="C547" i="4"/>
  <c r="C555" i="4"/>
  <c r="C563" i="4"/>
  <c r="C571" i="4"/>
  <c r="C579" i="4"/>
  <c r="C587" i="4"/>
  <c r="C595" i="4"/>
  <c r="C603" i="4"/>
  <c r="C611" i="4"/>
  <c r="C619" i="4"/>
  <c r="C627" i="4"/>
  <c r="C635" i="4"/>
  <c r="C643" i="4"/>
  <c r="C651" i="4"/>
  <c r="C659" i="4"/>
  <c r="C667" i="4"/>
  <c r="C675" i="4"/>
  <c r="C683" i="4"/>
  <c r="C69" i="4"/>
  <c r="C92" i="4"/>
  <c r="C113" i="4"/>
  <c r="C133" i="4"/>
  <c r="C156" i="4"/>
  <c r="C177" i="4"/>
  <c r="C197" i="4"/>
  <c r="C73" i="4"/>
  <c r="C93" i="4"/>
  <c r="C116" i="4"/>
  <c r="C137" i="4"/>
  <c r="C157" i="4"/>
  <c r="C180" i="4"/>
  <c r="C201" i="4"/>
  <c r="C76" i="4"/>
  <c r="C97" i="4"/>
  <c r="C117" i="4"/>
  <c r="C140" i="4"/>
  <c r="C161" i="4"/>
  <c r="C181" i="4"/>
  <c r="C204" i="4"/>
  <c r="C225" i="4"/>
  <c r="C245" i="4"/>
  <c r="C268" i="4"/>
  <c r="C289" i="4"/>
  <c r="C309" i="4"/>
  <c r="C332" i="4"/>
  <c r="C353" i="4"/>
  <c r="C373" i="4"/>
  <c r="C396" i="4"/>
  <c r="C417" i="4"/>
  <c r="C437" i="4"/>
  <c r="C460" i="4"/>
  <c r="C481" i="4"/>
  <c r="C501" i="4"/>
  <c r="C524" i="4"/>
  <c r="C545" i="4"/>
  <c r="C565" i="4"/>
  <c r="C588" i="4"/>
  <c r="C609" i="4"/>
  <c r="C629" i="4"/>
  <c r="C652" i="4"/>
  <c r="C673" i="4"/>
  <c r="C687" i="4"/>
  <c r="C695" i="4"/>
  <c r="C703" i="4"/>
  <c r="C711" i="4"/>
  <c r="C719" i="4"/>
  <c r="C727" i="4"/>
  <c r="C735" i="4"/>
  <c r="C743" i="4"/>
  <c r="C751" i="4"/>
  <c r="C759" i="4"/>
  <c r="C767" i="4"/>
  <c r="C775" i="4"/>
  <c r="C783" i="4"/>
  <c r="C791" i="4"/>
  <c r="C799" i="4"/>
  <c r="C807" i="4"/>
  <c r="C815" i="4"/>
  <c r="C823" i="4"/>
  <c r="C831" i="4"/>
  <c r="C839" i="4"/>
  <c r="C847" i="4"/>
  <c r="C855" i="4"/>
  <c r="C863" i="4"/>
  <c r="C871" i="4"/>
  <c r="C879" i="4"/>
  <c r="C887" i="4"/>
  <c r="C895" i="4"/>
  <c r="C903" i="4"/>
  <c r="C911" i="4"/>
  <c r="C919" i="4"/>
  <c r="C927" i="4"/>
  <c r="C935" i="4"/>
  <c r="C943" i="4"/>
  <c r="C951" i="4"/>
  <c r="C959" i="4"/>
  <c r="C967" i="4"/>
  <c r="C975" i="4"/>
  <c r="C983" i="4"/>
  <c r="C991" i="4"/>
  <c r="C999" i="4"/>
  <c r="C1007" i="4"/>
  <c r="C1015" i="4"/>
  <c r="C1023" i="4"/>
  <c r="C1031" i="4"/>
  <c r="C1039" i="4"/>
  <c r="C1047" i="4"/>
  <c r="C1055" i="4"/>
  <c r="C1063" i="4"/>
  <c r="C1071" i="4"/>
  <c r="C1079" i="4"/>
  <c r="C1087" i="4"/>
  <c r="C1095" i="4"/>
  <c r="C1103" i="4"/>
  <c r="C57" i="4"/>
  <c r="C77" i="4"/>
  <c r="C100" i="4"/>
  <c r="C121" i="4"/>
  <c r="C141" i="4"/>
  <c r="C164" i="4"/>
  <c r="C185" i="4"/>
  <c r="C205" i="4"/>
  <c r="C228" i="4"/>
  <c r="C249" i="4"/>
  <c r="C269" i="4"/>
  <c r="C292" i="4"/>
  <c r="C313" i="4"/>
  <c r="C333" i="4"/>
  <c r="C356" i="4"/>
  <c r="C377" i="4"/>
  <c r="C397" i="4"/>
  <c r="C420" i="4"/>
  <c r="C441" i="4"/>
  <c r="C461" i="4"/>
  <c r="C484" i="4"/>
  <c r="C505" i="4"/>
  <c r="C525" i="4"/>
  <c r="C548" i="4"/>
  <c r="C569" i="4"/>
  <c r="C589" i="4"/>
  <c r="C612" i="4"/>
  <c r="C633" i="4"/>
  <c r="C653" i="4"/>
  <c r="C676" i="4"/>
  <c r="C688" i="4"/>
  <c r="C696" i="4"/>
  <c r="C704" i="4"/>
  <c r="C712" i="4"/>
  <c r="C720" i="4"/>
  <c r="C728" i="4"/>
  <c r="C736" i="4"/>
  <c r="C744" i="4"/>
  <c r="C752" i="4"/>
  <c r="C760" i="4"/>
  <c r="C768" i="4"/>
  <c r="C776" i="4"/>
  <c r="C784" i="4"/>
  <c r="C792" i="4"/>
  <c r="C800" i="4"/>
  <c r="C808" i="4"/>
  <c r="C816" i="4"/>
  <c r="C824" i="4"/>
  <c r="C832" i="4"/>
  <c r="C840" i="4"/>
  <c r="C848" i="4"/>
  <c r="C856" i="4"/>
  <c r="C864" i="4"/>
  <c r="C872" i="4"/>
  <c r="C880" i="4"/>
  <c r="C888" i="4"/>
  <c r="C896" i="4"/>
  <c r="C904" i="4"/>
  <c r="C912" i="4"/>
  <c r="C920" i="4"/>
  <c r="C928" i="4"/>
  <c r="C936" i="4"/>
  <c r="C944" i="4"/>
  <c r="C952" i="4"/>
  <c r="C960" i="4"/>
  <c r="C968" i="4"/>
  <c r="C976" i="4"/>
  <c r="C984" i="4"/>
  <c r="C992" i="4"/>
  <c r="C1000" i="4"/>
  <c r="C1008" i="4"/>
  <c r="C1016" i="4"/>
  <c r="C1024" i="4"/>
  <c r="C1032" i="4"/>
  <c r="C1040" i="4"/>
  <c r="C1048" i="4"/>
  <c r="C1056" i="4"/>
  <c r="C1064" i="4"/>
  <c r="C1072" i="4"/>
  <c r="C1080" i="4"/>
  <c r="C1088" i="4"/>
  <c r="C1096" i="4"/>
  <c r="C1104" i="4"/>
  <c r="C1112" i="4"/>
  <c r="C1120" i="4"/>
  <c r="C1128" i="4"/>
  <c r="C1136" i="4"/>
  <c r="C1144" i="4"/>
  <c r="C1152" i="4"/>
  <c r="C1160" i="4"/>
  <c r="C1168" i="4"/>
  <c r="C1176" i="4"/>
  <c r="C1184" i="4"/>
  <c r="C1192" i="4"/>
  <c r="C1200" i="4"/>
  <c r="C60" i="4"/>
  <c r="C81" i="4"/>
  <c r="C101" i="4"/>
  <c r="C124" i="4"/>
  <c r="C145" i="4"/>
  <c r="C165" i="4"/>
  <c r="C188" i="4"/>
  <c r="C209" i="4"/>
  <c r="C229" i="4"/>
  <c r="C252" i="4"/>
  <c r="C273" i="4"/>
  <c r="C293" i="4"/>
  <c r="C316" i="4"/>
  <c r="C337" i="4"/>
  <c r="C357" i="4"/>
  <c r="C380" i="4"/>
  <c r="C401" i="4"/>
  <c r="C421" i="4"/>
  <c r="C444" i="4"/>
  <c r="C465" i="4"/>
  <c r="C485" i="4"/>
  <c r="C508" i="4"/>
  <c r="C529" i="4"/>
  <c r="C549" i="4"/>
  <c r="C572" i="4"/>
  <c r="C593" i="4"/>
  <c r="C613" i="4"/>
  <c r="C636" i="4"/>
  <c r="C657" i="4"/>
  <c r="C677" i="4"/>
  <c r="C689" i="4"/>
  <c r="C697" i="4"/>
  <c r="C705" i="4"/>
  <c r="C713" i="4"/>
  <c r="C721" i="4"/>
  <c r="C729" i="4"/>
  <c r="C737" i="4"/>
  <c r="C745" i="4"/>
  <c r="C753" i="4"/>
  <c r="C761" i="4"/>
  <c r="C769" i="4"/>
  <c r="C777" i="4"/>
  <c r="C785" i="4"/>
  <c r="C793" i="4"/>
  <c r="C801" i="4"/>
  <c r="C809" i="4"/>
  <c r="C817" i="4"/>
  <c r="C825" i="4"/>
  <c r="C833" i="4"/>
  <c r="C841" i="4"/>
  <c r="C849" i="4"/>
  <c r="C857" i="4"/>
  <c r="C865" i="4"/>
  <c r="C873" i="4"/>
  <c r="C881" i="4"/>
  <c r="C889" i="4"/>
  <c r="C897" i="4"/>
  <c r="C905" i="4"/>
  <c r="C913" i="4"/>
  <c r="C921" i="4"/>
  <c r="C929" i="4"/>
  <c r="C937" i="4"/>
  <c r="C945" i="4"/>
  <c r="C953" i="4"/>
  <c r="C961" i="4"/>
  <c r="C969" i="4"/>
  <c r="C977" i="4"/>
  <c r="C985" i="4"/>
  <c r="C993" i="4"/>
  <c r="C1001" i="4"/>
  <c r="C1009" i="4"/>
  <c r="C1017" i="4"/>
  <c r="C1025" i="4"/>
  <c r="C1033" i="4"/>
  <c r="C1041" i="4"/>
  <c r="C1049" i="4"/>
  <c r="C1057" i="4"/>
  <c r="C1065" i="4"/>
  <c r="C1073" i="4"/>
  <c r="C1081" i="4"/>
  <c r="C1089" i="4"/>
  <c r="C1097" i="4"/>
  <c r="C1105" i="4"/>
  <c r="C65" i="4"/>
  <c r="C85" i="4"/>
  <c r="C108" i="4"/>
  <c r="C129" i="4"/>
  <c r="C149" i="4"/>
  <c r="C172" i="4"/>
  <c r="C193" i="4"/>
  <c r="C213" i="4"/>
  <c r="C236" i="4"/>
  <c r="C257" i="4"/>
  <c r="C277" i="4"/>
  <c r="C300" i="4"/>
  <c r="C321" i="4"/>
  <c r="C341" i="4"/>
  <c r="C364" i="4"/>
  <c r="C385" i="4"/>
  <c r="C405" i="4"/>
  <c r="C428" i="4"/>
  <c r="C449" i="4"/>
  <c r="C469" i="4"/>
  <c r="C492" i="4"/>
  <c r="C513" i="4"/>
  <c r="C533" i="4"/>
  <c r="C556" i="4"/>
  <c r="C577" i="4"/>
  <c r="C597" i="4"/>
  <c r="C620" i="4"/>
  <c r="C641" i="4"/>
  <c r="C661" i="4"/>
  <c r="C681" i="4"/>
  <c r="C691" i="4"/>
  <c r="C699" i="4"/>
  <c r="C707" i="4"/>
  <c r="C715" i="4"/>
  <c r="C723" i="4"/>
  <c r="C731" i="4"/>
  <c r="C739" i="4"/>
  <c r="C747" i="4"/>
  <c r="C755" i="4"/>
  <c r="C763" i="4"/>
  <c r="C771" i="4"/>
  <c r="C779" i="4"/>
  <c r="C787" i="4"/>
  <c r="C795" i="4"/>
  <c r="C803" i="4"/>
  <c r="C811" i="4"/>
  <c r="C819" i="4"/>
  <c r="C827" i="4"/>
  <c r="C835" i="4"/>
  <c r="C843" i="4"/>
  <c r="C851" i="4"/>
  <c r="C859" i="4"/>
  <c r="C867" i="4"/>
  <c r="C875" i="4"/>
  <c r="C883" i="4"/>
  <c r="C891" i="4"/>
  <c r="C899" i="4"/>
  <c r="C907" i="4"/>
  <c r="C915" i="4"/>
  <c r="C923" i="4"/>
  <c r="C931" i="4"/>
  <c r="C939" i="4"/>
  <c r="C947" i="4"/>
  <c r="C955" i="4"/>
  <c r="C963" i="4"/>
  <c r="C971" i="4"/>
  <c r="C979" i="4"/>
  <c r="C987" i="4"/>
  <c r="C995" i="4"/>
  <c r="C1003" i="4"/>
  <c r="C1011" i="4"/>
  <c r="C1019" i="4"/>
  <c r="C1027" i="4"/>
  <c r="C1035" i="4"/>
  <c r="C1043" i="4"/>
  <c r="C1051" i="4"/>
  <c r="C1059" i="4"/>
  <c r="C1067" i="4"/>
  <c r="C1075" i="4"/>
  <c r="C1083" i="4"/>
  <c r="C1091" i="4"/>
  <c r="C1099" i="4"/>
  <c r="C1107" i="4"/>
  <c r="C1115" i="4"/>
  <c r="C1123" i="4"/>
  <c r="C1131" i="4"/>
  <c r="C1139" i="4"/>
  <c r="C1147" i="4"/>
  <c r="C1155" i="4"/>
  <c r="C1163" i="4"/>
  <c r="C1171" i="4"/>
  <c r="C1179" i="4"/>
  <c r="C1187" i="4"/>
  <c r="C1195" i="4"/>
  <c r="C1203" i="4"/>
  <c r="C1196" i="4"/>
  <c r="C1185" i="4"/>
  <c r="C1174" i="4"/>
  <c r="C1164" i="4"/>
  <c r="C1153" i="4"/>
  <c r="C1142" i="4"/>
  <c r="C1132" i="4"/>
  <c r="C1121" i="4"/>
  <c r="C1110" i="4"/>
  <c r="C1094" i="4"/>
  <c r="C1078" i="4"/>
  <c r="C1062" i="4"/>
  <c r="C1046" i="4"/>
  <c r="C1030" i="4"/>
  <c r="C1014" i="4"/>
  <c r="C998" i="4"/>
  <c r="C982" i="4"/>
  <c r="C966" i="4"/>
  <c r="C950" i="4"/>
  <c r="C934" i="4"/>
  <c r="C918" i="4"/>
  <c r="C902" i="4"/>
  <c r="C886" i="4"/>
  <c r="C870" i="4"/>
  <c r="C854" i="4"/>
  <c r="C838" i="4"/>
  <c r="C822" i="4"/>
  <c r="C806" i="4"/>
  <c r="C790" i="4"/>
  <c r="C774" i="4"/>
  <c r="C758" i="4"/>
  <c r="C742" i="4"/>
  <c r="C726" i="4"/>
  <c r="C710" i="4"/>
  <c r="C694" i="4"/>
  <c r="C669" i="4"/>
  <c r="C628" i="4"/>
  <c r="C585" i="4"/>
  <c r="C541" i="4"/>
  <c r="C500" i="4"/>
  <c r="C457" i="4"/>
  <c r="C413" i="4"/>
  <c r="C372" i="4"/>
  <c r="C329" i="4"/>
  <c r="C285" i="4"/>
  <c r="C244" i="4"/>
  <c r="C196" i="4"/>
  <c r="C109" i="4"/>
  <c r="C1194" i="4"/>
  <c r="C1183" i="4"/>
  <c r="C1173" i="4"/>
  <c r="C1162" i="4"/>
  <c r="C1151" i="4"/>
  <c r="C1141" i="4"/>
  <c r="C1130" i="4"/>
  <c r="C1119" i="4"/>
  <c r="C1109" i="4"/>
  <c r="C1093" i="4"/>
  <c r="C1077" i="4"/>
  <c r="C1061" i="4"/>
  <c r="C1045" i="4"/>
  <c r="C1029" i="4"/>
  <c r="C1013" i="4"/>
  <c r="C997" i="4"/>
  <c r="C981" i="4"/>
  <c r="C965" i="4"/>
  <c r="C949" i="4"/>
  <c r="C933" i="4"/>
  <c r="C917" i="4"/>
  <c r="C901" i="4"/>
  <c r="C885" i="4"/>
  <c r="C869" i="4"/>
  <c r="C853" i="4"/>
  <c r="C837" i="4"/>
  <c r="C821" i="4"/>
  <c r="C805" i="4"/>
  <c r="C789" i="4"/>
  <c r="C773" i="4"/>
  <c r="C757" i="4"/>
  <c r="C741" i="4"/>
  <c r="C725" i="4"/>
  <c r="C709" i="4"/>
  <c r="C693" i="4"/>
  <c r="C668" i="4"/>
  <c r="C625" i="4"/>
  <c r="C581" i="4"/>
  <c r="C540" i="4"/>
  <c r="C497" i="4"/>
  <c r="C453" i="4"/>
  <c r="C412" i="4"/>
  <c r="C369" i="4"/>
  <c r="C325" i="4"/>
  <c r="C284" i="4"/>
  <c r="C241" i="4"/>
  <c r="C189" i="4"/>
  <c r="C105" i="4"/>
  <c r="R327" i="4"/>
  <c r="R611" i="4"/>
  <c r="R616" i="4"/>
  <c r="R620" i="4"/>
  <c r="R612" i="4"/>
  <c r="R619" i="4"/>
  <c r="R624" i="4"/>
  <c r="R614" i="4"/>
  <c r="R622" i="4"/>
  <c r="R617" i="4"/>
  <c r="R615" i="4"/>
  <c r="R623" i="4"/>
  <c r="R618" i="4"/>
  <c r="R613" i="4"/>
  <c r="R621" i="4"/>
  <c r="R583" i="4"/>
  <c r="R591" i="4"/>
  <c r="R586" i="4"/>
  <c r="R594" i="4"/>
  <c r="R589" i="4"/>
  <c r="R584" i="4"/>
  <c r="R592" i="4"/>
  <c r="R587" i="4"/>
  <c r="R595" i="4"/>
  <c r="R590" i="4"/>
  <c r="R585" i="4"/>
  <c r="R593" i="4"/>
  <c r="R588" i="4"/>
  <c r="R596" i="4"/>
  <c r="R1186" i="4"/>
  <c r="R1151" i="4"/>
  <c r="R1119" i="4"/>
  <c r="R995" i="4"/>
  <c r="R867" i="4"/>
  <c r="R739" i="4"/>
  <c r="R414" i="4"/>
  <c r="R1183" i="4"/>
  <c r="R1147" i="4"/>
  <c r="R1107" i="4"/>
  <c r="R979" i="4"/>
  <c r="R851" i="4"/>
  <c r="R723" i="4"/>
  <c r="R372" i="4"/>
  <c r="R1177" i="4"/>
  <c r="R1145" i="4"/>
  <c r="R1091" i="4"/>
  <c r="R963" i="4"/>
  <c r="R835" i="4"/>
  <c r="R698" i="4"/>
  <c r="R1172" i="4"/>
  <c r="R1138" i="4"/>
  <c r="R1075" i="4"/>
  <c r="R947" i="4"/>
  <c r="R819" i="4"/>
  <c r="R656" i="4"/>
  <c r="R286" i="4"/>
  <c r="R1202" i="4"/>
  <c r="R1170" i="4"/>
  <c r="R1135" i="4"/>
  <c r="R1059" i="4"/>
  <c r="R931" i="4"/>
  <c r="R803" i="4"/>
  <c r="R597" i="4"/>
  <c r="R244" i="4"/>
  <c r="R1199" i="4"/>
  <c r="R1163" i="4"/>
  <c r="R1131" i="4"/>
  <c r="R1043" i="4"/>
  <c r="R915" i="4"/>
  <c r="R787" i="4"/>
  <c r="R542" i="4"/>
  <c r="R199" i="4"/>
  <c r="R1195" i="4"/>
  <c r="R1161" i="4"/>
  <c r="R1124" i="4"/>
  <c r="R1027" i="4"/>
  <c r="R899" i="4"/>
  <c r="R771" i="4"/>
  <c r="R500" i="4"/>
  <c r="R156" i="4"/>
  <c r="R1188" i="4"/>
  <c r="R1156" i="4"/>
  <c r="R1122" i="4"/>
  <c r="R1011" i="4"/>
  <c r="R883" i="4"/>
  <c r="R755" i="4"/>
  <c r="R455" i="4"/>
  <c r="R87" i="4"/>
  <c r="R1196" i="4"/>
  <c r="R1185" i="4"/>
  <c r="R1171" i="4"/>
  <c r="R1159" i="4"/>
  <c r="R1146" i="4"/>
  <c r="R1132" i="4"/>
  <c r="R1121" i="4"/>
  <c r="R1106" i="4"/>
  <c r="R1090" i="4"/>
  <c r="R1074" i="4"/>
  <c r="R1058" i="4"/>
  <c r="R1042" i="4"/>
  <c r="R1026" i="4"/>
  <c r="R1010" i="4"/>
  <c r="R994" i="4"/>
  <c r="R978" i="4"/>
  <c r="R962" i="4"/>
  <c r="R946" i="4"/>
  <c r="R930" i="4"/>
  <c r="R914" i="4"/>
  <c r="R898" i="4"/>
  <c r="R882" i="4"/>
  <c r="R866" i="4"/>
  <c r="R850" i="4"/>
  <c r="R834" i="4"/>
  <c r="R818" i="4"/>
  <c r="R802" i="4"/>
  <c r="R786" i="4"/>
  <c r="R770" i="4"/>
  <c r="R754" i="4"/>
  <c r="R738" i="4"/>
  <c r="R722" i="4"/>
  <c r="R696" i="4"/>
  <c r="R651" i="4"/>
  <c r="R582" i="4"/>
  <c r="R540" i="4"/>
  <c r="R495" i="4"/>
  <c r="R454" i="4"/>
  <c r="R412" i="4"/>
  <c r="R367" i="4"/>
  <c r="R326" i="4"/>
  <c r="R284" i="4"/>
  <c r="R239" i="4"/>
  <c r="R198" i="4"/>
  <c r="R151" i="4"/>
  <c r="R70" i="4"/>
  <c r="R1105" i="4"/>
  <c r="R1089" i="4"/>
  <c r="R1073" i="4"/>
  <c r="R1057" i="4"/>
  <c r="R1041" i="4"/>
  <c r="R1025" i="4"/>
  <c r="R1009" i="4"/>
  <c r="R993" i="4"/>
  <c r="R977" i="4"/>
  <c r="R961" i="4"/>
  <c r="R945" i="4"/>
  <c r="R929" i="4"/>
  <c r="R913" i="4"/>
  <c r="R897" i="4"/>
  <c r="R881" i="4"/>
  <c r="R865" i="4"/>
  <c r="R849" i="4"/>
  <c r="R833" i="4"/>
  <c r="R817" i="4"/>
  <c r="R801" i="4"/>
  <c r="R785" i="4"/>
  <c r="R769" i="4"/>
  <c r="R753" i="4"/>
  <c r="R737" i="4"/>
  <c r="R721" i="4"/>
  <c r="R691" i="4"/>
  <c r="R650" i="4"/>
  <c r="R580" i="4"/>
  <c r="R535" i="4"/>
  <c r="R494" i="4"/>
  <c r="R452" i="4"/>
  <c r="R407" i="4"/>
  <c r="R366" i="4"/>
  <c r="R324" i="4"/>
  <c r="R279" i="4"/>
  <c r="R238" i="4"/>
  <c r="R196" i="4"/>
  <c r="R135" i="4"/>
  <c r="R68" i="4"/>
  <c r="R1194" i="4"/>
  <c r="R1180" i="4"/>
  <c r="R1169" i="4"/>
  <c r="R1155" i="4"/>
  <c r="R1143" i="4"/>
  <c r="R1130" i="4"/>
  <c r="R1116" i="4"/>
  <c r="R1103" i="4"/>
  <c r="R1087" i="4"/>
  <c r="R1071" i="4"/>
  <c r="R1055" i="4"/>
  <c r="R1039" i="4"/>
  <c r="R1023" i="4"/>
  <c r="R1007" i="4"/>
  <c r="R991" i="4"/>
  <c r="R975" i="4"/>
  <c r="R959" i="4"/>
  <c r="R943" i="4"/>
  <c r="R927" i="4"/>
  <c r="R911" i="4"/>
  <c r="R895" i="4"/>
  <c r="R879" i="4"/>
  <c r="R863" i="4"/>
  <c r="R847" i="4"/>
  <c r="R831" i="4"/>
  <c r="R815" i="4"/>
  <c r="R799" i="4"/>
  <c r="R783" i="4"/>
  <c r="R767" i="4"/>
  <c r="R751" i="4"/>
  <c r="R735" i="4"/>
  <c r="R719" i="4"/>
  <c r="R688" i="4"/>
  <c r="R643" i="4"/>
  <c r="R574" i="4"/>
  <c r="R532" i="4"/>
  <c r="R487" i="4"/>
  <c r="R446" i="4"/>
  <c r="R404" i="4"/>
  <c r="R359" i="4"/>
  <c r="R318" i="4"/>
  <c r="R276" i="4"/>
  <c r="R231" i="4"/>
  <c r="R190" i="4"/>
  <c r="R134" i="4"/>
  <c r="R1204" i="4"/>
  <c r="R1193" i="4"/>
  <c r="R1179" i="4"/>
  <c r="R1167" i="4"/>
  <c r="R1154" i="4"/>
  <c r="R1140" i="4"/>
  <c r="R1129" i="4"/>
  <c r="R1115" i="4"/>
  <c r="R1099" i="4"/>
  <c r="R1083" i="4"/>
  <c r="R1067" i="4"/>
  <c r="R1051" i="4"/>
  <c r="R1035" i="4"/>
  <c r="R1019" i="4"/>
  <c r="R1003" i="4"/>
  <c r="R987" i="4"/>
  <c r="R971" i="4"/>
  <c r="R955" i="4"/>
  <c r="R939" i="4"/>
  <c r="R923" i="4"/>
  <c r="R907" i="4"/>
  <c r="R891" i="4"/>
  <c r="R875" i="4"/>
  <c r="R859" i="4"/>
  <c r="R843" i="4"/>
  <c r="R827" i="4"/>
  <c r="R811" i="4"/>
  <c r="R795" i="4"/>
  <c r="R779" i="4"/>
  <c r="R763" i="4"/>
  <c r="R747" i="4"/>
  <c r="R731" i="4"/>
  <c r="R715" i="4"/>
  <c r="R675" i="4"/>
  <c r="R634" i="4"/>
  <c r="R564" i="4"/>
  <c r="R519" i="4"/>
  <c r="R478" i="4"/>
  <c r="R436" i="4"/>
  <c r="R391" i="4"/>
  <c r="R350" i="4"/>
  <c r="R308" i="4"/>
  <c r="R263" i="4"/>
  <c r="R222" i="4"/>
  <c r="R180" i="4"/>
  <c r="R132" i="4"/>
  <c r="R1203" i="4"/>
  <c r="R1191" i="4"/>
  <c r="R1178" i="4"/>
  <c r="R1164" i="4"/>
  <c r="R1153" i="4"/>
  <c r="R1139" i="4"/>
  <c r="R1127" i="4"/>
  <c r="R1114" i="4"/>
  <c r="R1098" i="4"/>
  <c r="R1082" i="4"/>
  <c r="R1066" i="4"/>
  <c r="R1050" i="4"/>
  <c r="R1034" i="4"/>
  <c r="R1018" i="4"/>
  <c r="R1002" i="4"/>
  <c r="R986" i="4"/>
  <c r="R970" i="4"/>
  <c r="R954" i="4"/>
  <c r="R938" i="4"/>
  <c r="R922" i="4"/>
  <c r="R906" i="4"/>
  <c r="R890" i="4"/>
  <c r="R874" i="4"/>
  <c r="R858" i="4"/>
  <c r="R842" i="4"/>
  <c r="R826" i="4"/>
  <c r="R810" i="4"/>
  <c r="R794" i="4"/>
  <c r="R778" i="4"/>
  <c r="R762" i="4"/>
  <c r="R746" i="4"/>
  <c r="R730" i="4"/>
  <c r="R714" i="4"/>
  <c r="R674" i="4"/>
  <c r="R632" i="4"/>
  <c r="R559" i="4"/>
  <c r="R518" i="4"/>
  <c r="R476" i="4"/>
  <c r="R431" i="4"/>
  <c r="R390" i="4"/>
  <c r="R348" i="4"/>
  <c r="R303" i="4"/>
  <c r="R262" i="4"/>
  <c r="R220" i="4"/>
  <c r="R175" i="4"/>
  <c r="R111" i="4"/>
  <c r="R1113" i="4"/>
  <c r="R1097" i="4"/>
  <c r="R1081" i="4"/>
  <c r="R1065" i="4"/>
  <c r="R1049" i="4"/>
  <c r="R1033" i="4"/>
  <c r="R1017" i="4"/>
  <c r="R1001" i="4"/>
  <c r="R985" i="4"/>
  <c r="R969" i="4"/>
  <c r="R953" i="4"/>
  <c r="R937" i="4"/>
  <c r="R921" i="4"/>
  <c r="R905" i="4"/>
  <c r="R889" i="4"/>
  <c r="R873" i="4"/>
  <c r="R857" i="4"/>
  <c r="R841" i="4"/>
  <c r="R825" i="4"/>
  <c r="R809" i="4"/>
  <c r="R793" i="4"/>
  <c r="R777" i="4"/>
  <c r="R761" i="4"/>
  <c r="R745" i="4"/>
  <c r="R729" i="4"/>
  <c r="R713" i="4"/>
  <c r="R672" i="4"/>
  <c r="R627" i="4"/>
  <c r="R558" i="4"/>
  <c r="R516" i="4"/>
  <c r="R471" i="4"/>
  <c r="R430" i="4"/>
  <c r="R388" i="4"/>
  <c r="R343" i="4"/>
  <c r="R302" i="4"/>
  <c r="R260" i="4"/>
  <c r="R215" i="4"/>
  <c r="R174" i="4"/>
  <c r="R110" i="4"/>
  <c r="R1201" i="4"/>
  <c r="R1187" i="4"/>
  <c r="R1175" i="4"/>
  <c r="R1162" i="4"/>
  <c r="R1148" i="4"/>
  <c r="R1137" i="4"/>
  <c r="R1123" i="4"/>
  <c r="R1111" i="4"/>
  <c r="R1095" i="4"/>
  <c r="R1079" i="4"/>
  <c r="R1063" i="4"/>
  <c r="R1047" i="4"/>
  <c r="R1031" i="4"/>
  <c r="R1015" i="4"/>
  <c r="R999" i="4"/>
  <c r="R983" i="4"/>
  <c r="R967" i="4"/>
  <c r="R951" i="4"/>
  <c r="R935" i="4"/>
  <c r="R919" i="4"/>
  <c r="R903" i="4"/>
  <c r="R887" i="4"/>
  <c r="R871" i="4"/>
  <c r="R855" i="4"/>
  <c r="R839" i="4"/>
  <c r="R823" i="4"/>
  <c r="R807" i="4"/>
  <c r="R791" i="4"/>
  <c r="R775" i="4"/>
  <c r="R759" i="4"/>
  <c r="R743" i="4"/>
  <c r="R727" i="4"/>
  <c r="R707" i="4"/>
  <c r="R666" i="4"/>
  <c r="R610" i="4"/>
  <c r="R551" i="4"/>
  <c r="R510" i="4"/>
  <c r="R468" i="4"/>
  <c r="R423" i="4"/>
  <c r="R382" i="4"/>
  <c r="R340" i="4"/>
  <c r="R295" i="4"/>
  <c r="R254" i="4"/>
  <c r="R212" i="4"/>
  <c r="R158" i="4"/>
  <c r="R92" i="4"/>
  <c r="R1200" i="4"/>
  <c r="R1192" i="4"/>
  <c r="R1184" i="4"/>
  <c r="R1176" i="4"/>
  <c r="R1168" i="4"/>
  <c r="R1160" i="4"/>
  <c r="R1152" i="4"/>
  <c r="R1144" i="4"/>
  <c r="R1136" i="4"/>
  <c r="R1128" i="4"/>
  <c r="R1120" i="4"/>
  <c r="R1112" i="4"/>
  <c r="R1104" i="4"/>
  <c r="R1096" i="4"/>
  <c r="R1088" i="4"/>
  <c r="R1080" i="4"/>
  <c r="R1072" i="4"/>
  <c r="R1064" i="4"/>
  <c r="R1056" i="4"/>
  <c r="R1048" i="4"/>
  <c r="R1040" i="4"/>
  <c r="R1032" i="4"/>
  <c r="R1024" i="4"/>
  <c r="R1016" i="4"/>
  <c r="R1008" i="4"/>
  <c r="R1000" i="4"/>
  <c r="R992" i="4"/>
  <c r="R984" i="4"/>
  <c r="R976" i="4"/>
  <c r="R968" i="4"/>
  <c r="R960" i="4"/>
  <c r="R952" i="4"/>
  <c r="R944" i="4"/>
  <c r="R936" i="4"/>
  <c r="R928" i="4"/>
  <c r="R920" i="4"/>
  <c r="R912" i="4"/>
  <c r="R904" i="4"/>
  <c r="R896" i="4"/>
  <c r="R888" i="4"/>
  <c r="R880" i="4"/>
  <c r="R872" i="4"/>
  <c r="R864" i="4"/>
  <c r="R856" i="4"/>
  <c r="R848" i="4"/>
  <c r="R840" i="4"/>
  <c r="R832" i="4"/>
  <c r="R824" i="4"/>
  <c r="R816" i="4"/>
  <c r="R808" i="4"/>
  <c r="R800" i="4"/>
  <c r="R792" i="4"/>
  <c r="R784" i="4"/>
  <c r="R776" i="4"/>
  <c r="R768" i="4"/>
  <c r="R760" i="4"/>
  <c r="R752" i="4"/>
  <c r="R744" i="4"/>
  <c r="R736" i="4"/>
  <c r="R728" i="4"/>
  <c r="R720" i="4"/>
  <c r="R712" i="4"/>
  <c r="R690" i="4"/>
  <c r="R667" i="4"/>
  <c r="R648" i="4"/>
  <c r="R626" i="4"/>
  <c r="R575" i="4"/>
  <c r="R556" i="4"/>
  <c r="R534" i="4"/>
  <c r="R511" i="4"/>
  <c r="R492" i="4"/>
  <c r="R470" i="4"/>
  <c r="R447" i="4"/>
  <c r="R428" i="4"/>
  <c r="R406" i="4"/>
  <c r="R383" i="4"/>
  <c r="R364" i="4"/>
  <c r="R342" i="4"/>
  <c r="R319" i="4"/>
  <c r="R300" i="4"/>
  <c r="R278" i="4"/>
  <c r="R255" i="4"/>
  <c r="R236" i="4"/>
  <c r="R214" i="4"/>
  <c r="R191" i="4"/>
  <c r="R172" i="4"/>
  <c r="R150" i="4"/>
  <c r="R127" i="4"/>
  <c r="R108" i="4"/>
  <c r="R86" i="4"/>
  <c r="R63" i="4"/>
  <c r="R167" i="4"/>
  <c r="R148" i="4"/>
  <c r="R126" i="4"/>
  <c r="R103" i="4"/>
  <c r="R84" i="4"/>
  <c r="R62" i="4"/>
  <c r="R1198" i="4"/>
  <c r="R1190" i="4"/>
  <c r="R1182" i="4"/>
  <c r="R1174" i="4"/>
  <c r="R1166" i="4"/>
  <c r="R1158" i="4"/>
  <c r="R1150" i="4"/>
  <c r="R1142" i="4"/>
  <c r="R1134" i="4"/>
  <c r="R1126" i="4"/>
  <c r="R1118" i="4"/>
  <c r="R1110" i="4"/>
  <c r="R1102" i="4"/>
  <c r="R1094" i="4"/>
  <c r="R1086" i="4"/>
  <c r="R1078" i="4"/>
  <c r="R1070" i="4"/>
  <c r="R1062" i="4"/>
  <c r="R1054" i="4"/>
  <c r="R1046" i="4"/>
  <c r="R1038" i="4"/>
  <c r="R1030" i="4"/>
  <c r="R1022" i="4"/>
  <c r="R1014" i="4"/>
  <c r="R1006" i="4"/>
  <c r="R998" i="4"/>
  <c r="R990" i="4"/>
  <c r="R982" i="4"/>
  <c r="R974" i="4"/>
  <c r="R966" i="4"/>
  <c r="R958" i="4"/>
  <c r="R950" i="4"/>
  <c r="R942" i="4"/>
  <c r="R934" i="4"/>
  <c r="R926" i="4"/>
  <c r="R918" i="4"/>
  <c r="R910" i="4"/>
  <c r="R902" i="4"/>
  <c r="R894" i="4"/>
  <c r="R886" i="4"/>
  <c r="R878" i="4"/>
  <c r="R870" i="4"/>
  <c r="R862" i="4"/>
  <c r="R854" i="4"/>
  <c r="R846" i="4"/>
  <c r="R838" i="4"/>
  <c r="R830" i="4"/>
  <c r="R822" i="4"/>
  <c r="R814" i="4"/>
  <c r="R806" i="4"/>
  <c r="R798" i="4"/>
  <c r="R790" i="4"/>
  <c r="R782" i="4"/>
  <c r="R774" i="4"/>
  <c r="R766" i="4"/>
  <c r="R758" i="4"/>
  <c r="R750" i="4"/>
  <c r="R742" i="4"/>
  <c r="R734" i="4"/>
  <c r="R726" i="4"/>
  <c r="R718" i="4"/>
  <c r="R706" i="4"/>
  <c r="R683" i="4"/>
  <c r="R664" i="4"/>
  <c r="R642" i="4"/>
  <c r="R605" i="4"/>
  <c r="R572" i="4"/>
  <c r="R550" i="4"/>
  <c r="R527" i="4"/>
  <c r="R508" i="4"/>
  <c r="R486" i="4"/>
  <c r="R463" i="4"/>
  <c r="R444" i="4"/>
  <c r="R422" i="4"/>
  <c r="R399" i="4"/>
  <c r="R380" i="4"/>
  <c r="R358" i="4"/>
  <c r="R335" i="4"/>
  <c r="R316" i="4"/>
  <c r="R294" i="4"/>
  <c r="R271" i="4"/>
  <c r="R252" i="4"/>
  <c r="R230" i="4"/>
  <c r="R207" i="4"/>
  <c r="R188" i="4"/>
  <c r="R166" i="4"/>
  <c r="R143" i="4"/>
  <c r="R124" i="4"/>
  <c r="R102" i="4"/>
  <c r="R79" i="4"/>
  <c r="R60" i="4"/>
  <c r="R61" i="4"/>
  <c r="R69" i="4"/>
  <c r="R77" i="4"/>
  <c r="R85" i="4"/>
  <c r="R93" i="4"/>
  <c r="R101" i="4"/>
  <c r="R109" i="4"/>
  <c r="R117" i="4"/>
  <c r="R125" i="4"/>
  <c r="R133" i="4"/>
  <c r="R141" i="4"/>
  <c r="R149" i="4"/>
  <c r="R157" i="4"/>
  <c r="R165" i="4"/>
  <c r="R173" i="4"/>
  <c r="R181" i="4"/>
  <c r="R189" i="4"/>
  <c r="R197" i="4"/>
  <c r="R205" i="4"/>
  <c r="R213" i="4"/>
  <c r="R221" i="4"/>
  <c r="R229" i="4"/>
  <c r="R237" i="4"/>
  <c r="R245" i="4"/>
  <c r="R253" i="4"/>
  <c r="R261" i="4"/>
  <c r="R269" i="4"/>
  <c r="R277" i="4"/>
  <c r="R285" i="4"/>
  <c r="R293" i="4"/>
  <c r="R301" i="4"/>
  <c r="R309" i="4"/>
  <c r="R317" i="4"/>
  <c r="R325" i="4"/>
  <c r="R333" i="4"/>
  <c r="R341" i="4"/>
  <c r="R349" i="4"/>
  <c r="R357" i="4"/>
  <c r="R365" i="4"/>
  <c r="R373" i="4"/>
  <c r="R381" i="4"/>
  <c r="R389" i="4"/>
  <c r="R397" i="4"/>
  <c r="R405" i="4"/>
  <c r="R413" i="4"/>
  <c r="R421" i="4"/>
  <c r="R429" i="4"/>
  <c r="R437" i="4"/>
  <c r="R445" i="4"/>
  <c r="R453" i="4"/>
  <c r="R461" i="4"/>
  <c r="R469" i="4"/>
  <c r="R477" i="4"/>
  <c r="R485" i="4"/>
  <c r="R493" i="4"/>
  <c r="R501" i="4"/>
  <c r="R509" i="4"/>
  <c r="R517" i="4"/>
  <c r="R525" i="4"/>
  <c r="R533" i="4"/>
  <c r="R541" i="4"/>
  <c r="R549" i="4"/>
  <c r="R557" i="4"/>
  <c r="R565" i="4"/>
  <c r="R573" i="4"/>
  <c r="R581" i="4"/>
  <c r="R603" i="4"/>
  <c r="R625" i="4"/>
  <c r="R633" i="4"/>
  <c r="R641" i="4"/>
  <c r="R649" i="4"/>
  <c r="R657" i="4"/>
  <c r="R665" i="4"/>
  <c r="R673" i="4"/>
  <c r="R681" i="4"/>
  <c r="R689" i="4"/>
  <c r="R697" i="4"/>
  <c r="R705" i="4"/>
  <c r="R56" i="4"/>
  <c r="R64" i="4"/>
  <c r="R72" i="4"/>
  <c r="R80" i="4"/>
  <c r="R88" i="4"/>
  <c r="R96" i="4"/>
  <c r="R104" i="4"/>
  <c r="R112" i="4"/>
  <c r="R120" i="4"/>
  <c r="R128" i="4"/>
  <c r="R136" i="4"/>
  <c r="R144" i="4"/>
  <c r="R152" i="4"/>
  <c r="R160" i="4"/>
  <c r="R168" i="4"/>
  <c r="R176" i="4"/>
  <c r="R184" i="4"/>
  <c r="R192" i="4"/>
  <c r="R200" i="4"/>
  <c r="R208" i="4"/>
  <c r="R216" i="4"/>
  <c r="R224" i="4"/>
  <c r="R232" i="4"/>
  <c r="R240" i="4"/>
  <c r="R248" i="4"/>
  <c r="R256" i="4"/>
  <c r="R264" i="4"/>
  <c r="R272" i="4"/>
  <c r="R280" i="4"/>
  <c r="R288" i="4"/>
  <c r="R296" i="4"/>
  <c r="R304" i="4"/>
  <c r="R312" i="4"/>
  <c r="R320" i="4"/>
  <c r="R328" i="4"/>
  <c r="R336" i="4"/>
  <c r="R344" i="4"/>
  <c r="R352" i="4"/>
  <c r="R360" i="4"/>
  <c r="R368" i="4"/>
  <c r="R376" i="4"/>
  <c r="R384" i="4"/>
  <c r="R392" i="4"/>
  <c r="R400" i="4"/>
  <c r="R408" i="4"/>
  <c r="R416" i="4"/>
  <c r="R424" i="4"/>
  <c r="R432" i="4"/>
  <c r="R440" i="4"/>
  <c r="R448" i="4"/>
  <c r="R456" i="4"/>
  <c r="R464" i="4"/>
  <c r="R472" i="4"/>
  <c r="R480" i="4"/>
  <c r="R488" i="4"/>
  <c r="R496" i="4"/>
  <c r="R504" i="4"/>
  <c r="R512" i="4"/>
  <c r="R520" i="4"/>
  <c r="R528" i="4"/>
  <c r="R536" i="4"/>
  <c r="R544" i="4"/>
  <c r="R552" i="4"/>
  <c r="R560" i="4"/>
  <c r="R568" i="4"/>
  <c r="R576" i="4"/>
  <c r="R598" i="4"/>
  <c r="R606" i="4"/>
  <c r="R628" i="4"/>
  <c r="R636" i="4"/>
  <c r="R644" i="4"/>
  <c r="R652" i="4"/>
  <c r="R660" i="4"/>
  <c r="R668" i="4"/>
  <c r="R676" i="4"/>
  <c r="R684" i="4"/>
  <c r="R692" i="4"/>
  <c r="R700" i="4"/>
  <c r="R708" i="4"/>
  <c r="R57" i="4"/>
  <c r="R65" i="4"/>
  <c r="R73" i="4"/>
  <c r="R81" i="4"/>
  <c r="R89" i="4"/>
  <c r="R97" i="4"/>
  <c r="R105" i="4"/>
  <c r="R113" i="4"/>
  <c r="R121" i="4"/>
  <c r="R129" i="4"/>
  <c r="R137" i="4"/>
  <c r="R145" i="4"/>
  <c r="R153" i="4"/>
  <c r="R161" i="4"/>
  <c r="R169" i="4"/>
  <c r="R177" i="4"/>
  <c r="R185" i="4"/>
  <c r="R193" i="4"/>
  <c r="R201" i="4"/>
  <c r="R209" i="4"/>
  <c r="R217" i="4"/>
  <c r="R225" i="4"/>
  <c r="R233" i="4"/>
  <c r="R241" i="4"/>
  <c r="R249" i="4"/>
  <c r="R257" i="4"/>
  <c r="R265" i="4"/>
  <c r="R273" i="4"/>
  <c r="R281" i="4"/>
  <c r="R289" i="4"/>
  <c r="R297" i="4"/>
  <c r="R305" i="4"/>
  <c r="R313" i="4"/>
  <c r="R321" i="4"/>
  <c r="R329" i="4"/>
  <c r="R337" i="4"/>
  <c r="R345" i="4"/>
  <c r="R353" i="4"/>
  <c r="R361" i="4"/>
  <c r="R369" i="4"/>
  <c r="R377" i="4"/>
  <c r="R385" i="4"/>
  <c r="R393" i="4"/>
  <c r="R401" i="4"/>
  <c r="R409" i="4"/>
  <c r="R417" i="4"/>
  <c r="R425" i="4"/>
  <c r="R433" i="4"/>
  <c r="R441" i="4"/>
  <c r="R449" i="4"/>
  <c r="R457" i="4"/>
  <c r="R465" i="4"/>
  <c r="R473" i="4"/>
  <c r="R481" i="4"/>
  <c r="R489" i="4"/>
  <c r="R497" i="4"/>
  <c r="R505" i="4"/>
  <c r="R513" i="4"/>
  <c r="R521" i="4"/>
  <c r="R529" i="4"/>
  <c r="R537" i="4"/>
  <c r="R545" i="4"/>
  <c r="R553" i="4"/>
  <c r="R561" i="4"/>
  <c r="R569" i="4"/>
  <c r="R577" i="4"/>
  <c r="R599" i="4"/>
  <c r="R607" i="4"/>
  <c r="R629" i="4"/>
  <c r="R637" i="4"/>
  <c r="R645" i="4"/>
  <c r="R653" i="4"/>
  <c r="R661" i="4"/>
  <c r="R669" i="4"/>
  <c r="R677" i="4"/>
  <c r="R685" i="4"/>
  <c r="R693" i="4"/>
  <c r="R701" i="4"/>
  <c r="R709" i="4"/>
  <c r="R58" i="4"/>
  <c r="R66" i="4"/>
  <c r="R74" i="4"/>
  <c r="R82" i="4"/>
  <c r="R90" i="4"/>
  <c r="R98" i="4"/>
  <c r="R106" i="4"/>
  <c r="R114" i="4"/>
  <c r="R122" i="4"/>
  <c r="R130" i="4"/>
  <c r="R138" i="4"/>
  <c r="R146" i="4"/>
  <c r="R154" i="4"/>
  <c r="R162" i="4"/>
  <c r="R170" i="4"/>
  <c r="R178" i="4"/>
  <c r="R186" i="4"/>
  <c r="R194" i="4"/>
  <c r="R202" i="4"/>
  <c r="R210" i="4"/>
  <c r="R218" i="4"/>
  <c r="R226" i="4"/>
  <c r="R234" i="4"/>
  <c r="R242" i="4"/>
  <c r="R250" i="4"/>
  <c r="R258" i="4"/>
  <c r="R266" i="4"/>
  <c r="R274" i="4"/>
  <c r="R282" i="4"/>
  <c r="R290" i="4"/>
  <c r="R298" i="4"/>
  <c r="R306" i="4"/>
  <c r="R314" i="4"/>
  <c r="R322" i="4"/>
  <c r="R330" i="4"/>
  <c r="R338" i="4"/>
  <c r="R346" i="4"/>
  <c r="R354" i="4"/>
  <c r="R362" i="4"/>
  <c r="R370" i="4"/>
  <c r="R378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R514" i="4"/>
  <c r="R522" i="4"/>
  <c r="R530" i="4"/>
  <c r="R538" i="4"/>
  <c r="R546" i="4"/>
  <c r="R554" i="4"/>
  <c r="R562" i="4"/>
  <c r="R570" i="4"/>
  <c r="R578" i="4"/>
  <c r="R600" i="4"/>
  <c r="R608" i="4"/>
  <c r="R630" i="4"/>
  <c r="R638" i="4"/>
  <c r="R646" i="4"/>
  <c r="R654" i="4"/>
  <c r="R662" i="4"/>
  <c r="R670" i="4"/>
  <c r="R678" i="4"/>
  <c r="R686" i="4"/>
  <c r="R694" i="4"/>
  <c r="R702" i="4"/>
  <c r="R710" i="4"/>
  <c r="R59" i="4"/>
  <c r="R67" i="4"/>
  <c r="R75" i="4"/>
  <c r="R83" i="4"/>
  <c r="R91" i="4"/>
  <c r="R99" i="4"/>
  <c r="R107" i="4"/>
  <c r="R115" i="4"/>
  <c r="R123" i="4"/>
  <c r="R131" i="4"/>
  <c r="R139" i="4"/>
  <c r="R147" i="4"/>
  <c r="R155" i="4"/>
  <c r="R163" i="4"/>
  <c r="R171" i="4"/>
  <c r="R179" i="4"/>
  <c r="R187" i="4"/>
  <c r="R195" i="4"/>
  <c r="R203" i="4"/>
  <c r="R211" i="4"/>
  <c r="R219" i="4"/>
  <c r="R227" i="4"/>
  <c r="R235" i="4"/>
  <c r="R243" i="4"/>
  <c r="R251" i="4"/>
  <c r="R259" i="4"/>
  <c r="R267" i="4"/>
  <c r="R275" i="4"/>
  <c r="R283" i="4"/>
  <c r="R291" i="4"/>
  <c r="R299" i="4"/>
  <c r="R307" i="4"/>
  <c r="R315" i="4"/>
  <c r="R323" i="4"/>
  <c r="R331" i="4"/>
  <c r="R339" i="4"/>
  <c r="R347" i="4"/>
  <c r="R355" i="4"/>
  <c r="R363" i="4"/>
  <c r="R371" i="4"/>
  <c r="R379" i="4"/>
  <c r="R387" i="4"/>
  <c r="R395" i="4"/>
  <c r="R403" i="4"/>
  <c r="R411" i="4"/>
  <c r="R419" i="4"/>
  <c r="R427" i="4"/>
  <c r="R435" i="4"/>
  <c r="R443" i="4"/>
  <c r="R451" i="4"/>
  <c r="R459" i="4"/>
  <c r="R467" i="4"/>
  <c r="R475" i="4"/>
  <c r="R483" i="4"/>
  <c r="R491" i="4"/>
  <c r="R499" i="4"/>
  <c r="R507" i="4"/>
  <c r="R515" i="4"/>
  <c r="R523" i="4"/>
  <c r="R531" i="4"/>
  <c r="R539" i="4"/>
  <c r="R547" i="4"/>
  <c r="R555" i="4"/>
  <c r="R563" i="4"/>
  <c r="R571" i="4"/>
  <c r="R579" i="4"/>
  <c r="R601" i="4"/>
  <c r="R609" i="4"/>
  <c r="R631" i="4"/>
  <c r="R639" i="4"/>
  <c r="R647" i="4"/>
  <c r="R655" i="4"/>
  <c r="R663" i="4"/>
  <c r="R671" i="4"/>
  <c r="R679" i="4"/>
  <c r="R687" i="4"/>
  <c r="R695" i="4"/>
  <c r="R703" i="4"/>
  <c r="R711" i="4"/>
  <c r="R1197" i="4"/>
  <c r="R1189" i="4"/>
  <c r="R1181" i="4"/>
  <c r="R1173" i="4"/>
  <c r="R1165" i="4"/>
  <c r="R1157" i="4"/>
  <c r="R1149" i="4"/>
  <c r="R1141" i="4"/>
  <c r="R1133" i="4"/>
  <c r="R1125" i="4"/>
  <c r="R1117" i="4"/>
  <c r="R1109" i="4"/>
  <c r="R1101" i="4"/>
  <c r="R1093" i="4"/>
  <c r="R1085" i="4"/>
  <c r="R1077" i="4"/>
  <c r="R1069" i="4"/>
  <c r="R1061" i="4"/>
  <c r="R1053" i="4"/>
  <c r="R1045" i="4"/>
  <c r="R1037" i="4"/>
  <c r="R1029" i="4"/>
  <c r="R1021" i="4"/>
  <c r="R1013" i="4"/>
  <c r="R1005" i="4"/>
  <c r="R997" i="4"/>
  <c r="R989" i="4"/>
  <c r="R981" i="4"/>
  <c r="R973" i="4"/>
  <c r="R965" i="4"/>
  <c r="R957" i="4"/>
  <c r="R949" i="4"/>
  <c r="R941" i="4"/>
  <c r="R933" i="4"/>
  <c r="R925" i="4"/>
  <c r="R917" i="4"/>
  <c r="R909" i="4"/>
  <c r="R901" i="4"/>
  <c r="R893" i="4"/>
  <c r="R885" i="4"/>
  <c r="R877" i="4"/>
  <c r="R869" i="4"/>
  <c r="R861" i="4"/>
  <c r="R853" i="4"/>
  <c r="R845" i="4"/>
  <c r="R837" i="4"/>
  <c r="R829" i="4"/>
  <c r="R821" i="4"/>
  <c r="R813" i="4"/>
  <c r="R805" i="4"/>
  <c r="R797" i="4"/>
  <c r="R789" i="4"/>
  <c r="R781" i="4"/>
  <c r="R773" i="4"/>
  <c r="R765" i="4"/>
  <c r="R757" i="4"/>
  <c r="R749" i="4"/>
  <c r="R741" i="4"/>
  <c r="R733" i="4"/>
  <c r="R725" i="4"/>
  <c r="R717" i="4"/>
  <c r="R704" i="4"/>
  <c r="R682" i="4"/>
  <c r="R659" i="4"/>
  <c r="R640" i="4"/>
  <c r="R604" i="4"/>
  <c r="R567" i="4"/>
  <c r="R548" i="4"/>
  <c r="R526" i="4"/>
  <c r="R503" i="4"/>
  <c r="R484" i="4"/>
  <c r="R462" i="4"/>
  <c r="R439" i="4"/>
  <c r="R420" i="4"/>
  <c r="R398" i="4"/>
  <c r="R375" i="4"/>
  <c r="R356" i="4"/>
  <c r="R334" i="4"/>
  <c r="R311" i="4"/>
  <c r="R292" i="4"/>
  <c r="R270" i="4"/>
  <c r="R247" i="4"/>
  <c r="R228" i="4"/>
  <c r="R206" i="4"/>
  <c r="R183" i="4"/>
  <c r="R164" i="4"/>
  <c r="R142" i="4"/>
  <c r="R119" i="4"/>
  <c r="R100" i="4"/>
  <c r="R78" i="4"/>
  <c r="R1108" i="4"/>
  <c r="R1100" i="4"/>
  <c r="R1092" i="4"/>
  <c r="R1084" i="4"/>
  <c r="R1076" i="4"/>
  <c r="R1068" i="4"/>
  <c r="R1060" i="4"/>
  <c r="R1052" i="4"/>
  <c r="R1044" i="4"/>
  <c r="R1036" i="4"/>
  <c r="R1028" i="4"/>
  <c r="R1020" i="4"/>
  <c r="R1012" i="4"/>
  <c r="R1004" i="4"/>
  <c r="R996" i="4"/>
  <c r="R988" i="4"/>
  <c r="R980" i="4"/>
  <c r="R972" i="4"/>
  <c r="R964" i="4"/>
  <c r="R956" i="4"/>
  <c r="R948" i="4"/>
  <c r="R940" i="4"/>
  <c r="R932" i="4"/>
  <c r="R924" i="4"/>
  <c r="R916" i="4"/>
  <c r="R908" i="4"/>
  <c r="R900" i="4"/>
  <c r="R892" i="4"/>
  <c r="R884" i="4"/>
  <c r="R876" i="4"/>
  <c r="R868" i="4"/>
  <c r="R860" i="4"/>
  <c r="R852" i="4"/>
  <c r="R844" i="4"/>
  <c r="R836" i="4"/>
  <c r="R828" i="4"/>
  <c r="R820" i="4"/>
  <c r="R812" i="4"/>
  <c r="R804" i="4"/>
  <c r="R796" i="4"/>
  <c r="R788" i="4"/>
  <c r="R780" i="4"/>
  <c r="R772" i="4"/>
  <c r="R764" i="4"/>
  <c r="R756" i="4"/>
  <c r="R748" i="4"/>
  <c r="R740" i="4"/>
  <c r="R732" i="4"/>
  <c r="R724" i="4"/>
  <c r="R716" i="4"/>
  <c r="R699" i="4"/>
  <c r="R680" i="4"/>
  <c r="R658" i="4"/>
  <c r="R635" i="4"/>
  <c r="R602" i="4"/>
  <c r="R566" i="4"/>
  <c r="R543" i="4"/>
  <c r="R524" i="4"/>
  <c r="R502" i="4"/>
  <c r="R479" i="4"/>
  <c r="R460" i="4"/>
  <c r="R438" i="4"/>
  <c r="R415" i="4"/>
  <c r="R396" i="4"/>
  <c r="R374" i="4"/>
  <c r="R351" i="4"/>
  <c r="R332" i="4"/>
  <c r="R310" i="4"/>
  <c r="R287" i="4"/>
  <c r="R268" i="4"/>
  <c r="R246" i="4"/>
  <c r="R223" i="4"/>
  <c r="R204" i="4"/>
  <c r="R182" i="4"/>
  <c r="R159" i="4"/>
  <c r="R140" i="4"/>
  <c r="R118" i="4"/>
  <c r="R95" i="4"/>
  <c r="R76" i="4"/>
  <c r="R116" i="4"/>
  <c r="R94" i="4"/>
  <c r="R71" i="4"/>
  <c r="J25" i="2" l="1"/>
  <c r="J11" i="2"/>
  <c r="J28" i="2"/>
  <c r="J26" i="2"/>
  <c r="J20" i="2"/>
  <c r="J23" i="2"/>
  <c r="J19" i="2"/>
  <c r="J14" i="2"/>
  <c r="J30" i="2"/>
  <c r="J32" i="2"/>
  <c r="J10" i="2"/>
  <c r="J13" i="2"/>
  <c r="J22" i="2"/>
  <c r="J18" i="2"/>
  <c r="J24" i="2"/>
  <c r="J17" i="2"/>
  <c r="J31" i="2"/>
  <c r="J21" i="2"/>
  <c r="J15" i="2"/>
  <c r="J12" i="2"/>
  <c r="I21" i="2"/>
  <c r="H27" i="2"/>
  <c r="I27" i="2"/>
  <c r="H43" i="2"/>
  <c r="I43" i="2"/>
  <c r="I19" i="2"/>
  <c r="I14" i="2"/>
  <c r="H34" i="2"/>
  <c r="I34" i="2"/>
  <c r="H48" i="2"/>
  <c r="I48" i="2"/>
  <c r="I15" i="2"/>
  <c r="I12" i="2"/>
  <c r="H35" i="2"/>
  <c r="I35" i="2"/>
  <c r="H47" i="2"/>
  <c r="I47" i="2"/>
  <c r="I30" i="2"/>
  <c r="H36" i="2"/>
  <c r="I36" i="2"/>
  <c r="H42" i="2"/>
  <c r="I42" i="2"/>
  <c r="I32" i="2"/>
  <c r="I10" i="2"/>
  <c r="H37" i="2"/>
  <c r="I37" i="2"/>
  <c r="H45" i="2"/>
  <c r="I45" i="2"/>
  <c r="I22" i="2"/>
  <c r="I18" i="2"/>
  <c r="I24" i="2"/>
  <c r="H38" i="2"/>
  <c r="I38" i="2"/>
  <c r="H44" i="2"/>
  <c r="I44" i="2"/>
  <c r="I20" i="2"/>
  <c r="I23" i="2"/>
  <c r="I11" i="2"/>
  <c r="I28" i="2"/>
  <c r="I26" i="2"/>
  <c r="I17" i="2"/>
  <c r="H39" i="2"/>
  <c r="I39" i="2"/>
  <c r="H41" i="2"/>
  <c r="I41" i="2"/>
  <c r="I25" i="2"/>
  <c r="I13" i="2"/>
  <c r="I31" i="2"/>
  <c r="H33" i="2"/>
  <c r="I33" i="2"/>
  <c r="H46" i="2"/>
  <c r="I46" i="2"/>
  <c r="H40" i="2"/>
  <c r="I40" i="2"/>
  <c r="H13" i="2"/>
  <c r="H25" i="2"/>
  <c r="H31" i="2"/>
  <c r="H12" i="2"/>
  <c r="H15" i="2"/>
  <c r="H14" i="2"/>
  <c r="H21" i="2"/>
  <c r="H19" i="2"/>
  <c r="H30" i="2"/>
  <c r="H32" i="2"/>
  <c r="H10" i="2"/>
  <c r="H22" i="2"/>
  <c r="H18" i="2"/>
  <c r="H24" i="2"/>
  <c r="H20" i="2"/>
  <c r="H23" i="2"/>
  <c r="H11" i="2"/>
  <c r="H28" i="2"/>
  <c r="H26" i="2"/>
  <c r="H17" i="2"/>
  <c r="M6" i="4"/>
  <c r="L6" i="4" s="1"/>
  <c r="C6" i="4" s="1"/>
  <c r="M5" i="4"/>
  <c r="L5" i="4" s="1"/>
  <c r="C5" i="4" s="1"/>
  <c r="M7" i="4"/>
  <c r="L7" i="4" s="1"/>
  <c r="C7" i="4" s="1"/>
  <c r="M8" i="4"/>
  <c r="L8" i="4" s="1"/>
  <c r="C8" i="4" s="1"/>
  <c r="M9" i="4"/>
  <c r="L9" i="4" s="1"/>
  <c r="C9" i="4" s="1"/>
  <c r="M10" i="4"/>
  <c r="L10" i="4" s="1"/>
  <c r="C10" i="4" s="1"/>
  <c r="M11" i="4"/>
  <c r="M12" i="4"/>
  <c r="M13" i="4"/>
  <c r="M14" i="4"/>
  <c r="L14" i="4" s="1"/>
  <c r="M15" i="4"/>
  <c r="L15" i="4" s="1"/>
  <c r="M16" i="4"/>
  <c r="L16" i="4" s="1"/>
  <c r="M17" i="4"/>
  <c r="L17" i="4" s="1"/>
  <c r="M18" i="4"/>
  <c r="L18" i="4" s="1"/>
  <c r="M19" i="4"/>
  <c r="L19" i="4" s="1"/>
  <c r="M20" i="4"/>
  <c r="L20" i="4" s="1"/>
  <c r="M21" i="4"/>
  <c r="L21" i="4" s="1"/>
  <c r="M22" i="4"/>
  <c r="L22" i="4" s="1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4" i="4"/>
  <c r="F4" i="2"/>
  <c r="K43" i="2" l="1"/>
  <c r="J16" i="2"/>
  <c r="K41" i="2"/>
  <c r="K46" i="2"/>
  <c r="K36" i="2"/>
  <c r="K33" i="2"/>
  <c r="K37" i="2"/>
  <c r="K40" i="2"/>
  <c r="K42" i="2"/>
  <c r="K45" i="2"/>
  <c r="K38" i="2"/>
  <c r="K47" i="2"/>
  <c r="K34" i="2"/>
  <c r="K20" i="2"/>
  <c r="K15" i="2"/>
  <c r="K39" i="2"/>
  <c r="K44" i="2"/>
  <c r="K48" i="2"/>
  <c r="K27" i="2"/>
  <c r="K30" i="2"/>
  <c r="K17" i="2"/>
  <c r="K21" i="2"/>
  <c r="K31" i="2"/>
  <c r="K26" i="2"/>
  <c r="K10" i="2"/>
  <c r="K13" i="2"/>
  <c r="K28" i="2"/>
  <c r="K24" i="2"/>
  <c r="K32" i="2"/>
  <c r="K35" i="2"/>
  <c r="K14" i="2"/>
  <c r="K25" i="2"/>
  <c r="K11" i="2"/>
  <c r="K18" i="2"/>
  <c r="K19" i="2"/>
  <c r="K23" i="2"/>
  <c r="K22" i="2"/>
  <c r="K12" i="2"/>
  <c r="L4" i="4"/>
  <c r="R4" i="4" s="1"/>
  <c r="I16" i="2"/>
  <c r="H16" i="2"/>
  <c r="L54" i="4"/>
  <c r="C54" i="4" s="1"/>
  <c r="L30" i="4"/>
  <c r="R30" i="4" s="1"/>
  <c r="L52" i="4"/>
  <c r="R52" i="4" s="1"/>
  <c r="L44" i="4"/>
  <c r="R44" i="4" s="1"/>
  <c r="L36" i="4"/>
  <c r="R36" i="4" s="1"/>
  <c r="L28" i="4"/>
  <c r="C28" i="4" s="1"/>
  <c r="L51" i="4"/>
  <c r="C51" i="4" s="1"/>
  <c r="L43" i="4"/>
  <c r="C43" i="4" s="1"/>
  <c r="L35" i="4"/>
  <c r="C35" i="4" s="1"/>
  <c r="L27" i="4"/>
  <c r="C27" i="4" s="1"/>
  <c r="L46" i="4"/>
  <c r="C46" i="4" s="1"/>
  <c r="L53" i="4"/>
  <c r="C53" i="4" s="1"/>
  <c r="L45" i="4"/>
  <c r="R45" i="4" s="1"/>
  <c r="L37" i="4"/>
  <c r="L50" i="4"/>
  <c r="L42" i="4"/>
  <c r="L34" i="4"/>
  <c r="L26" i="4"/>
  <c r="C26" i="4" s="1"/>
  <c r="L49" i="4"/>
  <c r="C49" i="4" s="1"/>
  <c r="L25" i="4"/>
  <c r="L48" i="4"/>
  <c r="R48" i="4" s="1"/>
  <c r="L40" i="4"/>
  <c r="R40" i="4" s="1"/>
  <c r="L32" i="4"/>
  <c r="C32" i="4" s="1"/>
  <c r="L24" i="4"/>
  <c r="L38" i="4"/>
  <c r="C38" i="4" s="1"/>
  <c r="L29" i="4"/>
  <c r="C29" i="4" s="1"/>
  <c r="L41" i="4"/>
  <c r="C41" i="4" s="1"/>
  <c r="L33" i="4"/>
  <c r="L55" i="4"/>
  <c r="C55" i="4" s="1"/>
  <c r="L47" i="4"/>
  <c r="C47" i="4" s="1"/>
  <c r="L39" i="4"/>
  <c r="C39" i="4" s="1"/>
  <c r="L31" i="4"/>
  <c r="C31" i="4" s="1"/>
  <c r="L23" i="4"/>
  <c r="L12" i="4"/>
  <c r="C12" i="4" s="1"/>
  <c r="C19" i="4"/>
  <c r="L11" i="4"/>
  <c r="C11" i="4" s="1"/>
  <c r="C18" i="4"/>
  <c r="C17" i="4"/>
  <c r="C16" i="4"/>
  <c r="C22" i="4"/>
  <c r="C14" i="4"/>
  <c r="C21" i="4"/>
  <c r="L13" i="4"/>
  <c r="R13" i="4" s="1"/>
  <c r="R21" i="4"/>
  <c r="R6" i="4"/>
  <c r="R19" i="4"/>
  <c r="R18" i="4"/>
  <c r="R10" i="4"/>
  <c r="R17" i="4"/>
  <c r="R9" i="4"/>
  <c r="R16" i="4"/>
  <c r="R8" i="4"/>
  <c r="R7" i="4"/>
  <c r="R22" i="4"/>
  <c r="R14" i="4"/>
  <c r="R5" i="4"/>
  <c r="K16" i="2" l="1"/>
  <c r="C4" i="4"/>
  <c r="J29" i="2" s="1"/>
  <c r="R25" i="4"/>
  <c r="R28" i="4"/>
  <c r="R29" i="4"/>
  <c r="R24" i="4"/>
  <c r="R31" i="4"/>
  <c r="R26" i="4"/>
  <c r="R27" i="4"/>
  <c r="R47" i="4"/>
  <c r="C40" i="4"/>
  <c r="R11" i="4"/>
  <c r="C30" i="4"/>
  <c r="R55" i="4"/>
  <c r="R33" i="4"/>
  <c r="R37" i="4"/>
  <c r="C37" i="4"/>
  <c r="R41" i="4"/>
  <c r="R53" i="4"/>
  <c r="R42" i="4"/>
  <c r="R35" i="4"/>
  <c r="R38" i="4"/>
  <c r="R43" i="4"/>
  <c r="R46" i="4"/>
  <c r="R51" i="4"/>
  <c r="C23" i="4"/>
  <c r="C48" i="4"/>
  <c r="H8" i="2" s="1"/>
  <c r="C45" i="4"/>
  <c r="C36" i="4"/>
  <c r="R12" i="4"/>
  <c r="R23" i="4"/>
  <c r="R32" i="4"/>
  <c r="R49" i="4"/>
  <c r="R50" i="4"/>
  <c r="C33" i="4"/>
  <c r="C24" i="4"/>
  <c r="C25" i="4"/>
  <c r="C42" i="4"/>
  <c r="C44" i="4"/>
  <c r="R54" i="4"/>
  <c r="R34" i="4"/>
  <c r="R39" i="4"/>
  <c r="C50" i="4"/>
  <c r="C52" i="4"/>
  <c r="C34" i="4"/>
  <c r="C13" i="4"/>
  <c r="C15" i="4"/>
  <c r="C20" i="4"/>
  <c r="R15" i="4"/>
  <c r="R20" i="4"/>
  <c r="J8" i="2" l="1"/>
  <c r="J7" i="2"/>
  <c r="J5" i="2"/>
  <c r="J9" i="2"/>
  <c r="J6" i="2"/>
  <c r="H29" i="2"/>
  <c r="I29" i="2"/>
  <c r="I9" i="2"/>
  <c r="I7" i="2"/>
  <c r="I6" i="2"/>
  <c r="I8" i="2"/>
  <c r="K8" i="2" s="1"/>
  <c r="I5" i="2"/>
  <c r="H9" i="2"/>
  <c r="H7" i="2"/>
  <c r="H6" i="2"/>
  <c r="H5" i="2"/>
  <c r="H3" i="2" l="1"/>
  <c r="J3" i="2"/>
  <c r="I3" i="2"/>
  <c r="K9" i="2"/>
  <c r="K6" i="2"/>
  <c r="K29" i="2"/>
  <c r="K7" i="2"/>
  <c r="K5" i="2"/>
  <c r="R15" i="2" l="1"/>
  <c r="S15" i="2" s="1"/>
  <c r="K3" i="2"/>
</calcChain>
</file>

<file path=xl/sharedStrings.xml><?xml version="1.0" encoding="utf-8"?>
<sst xmlns="http://schemas.openxmlformats.org/spreadsheetml/2006/main" count="7507" uniqueCount="813">
  <si>
    <t>Section</t>
  </si>
  <si>
    <t>Activity</t>
  </si>
  <si>
    <t>SAP</t>
  </si>
  <si>
    <t>Spare Location</t>
  </si>
  <si>
    <t>Forming Drum Outer Felt (OP)</t>
  </si>
  <si>
    <t>Forming Drum Outer Felt (DR)</t>
  </si>
  <si>
    <t xml:space="preserve">Forming Drum Inner Felt (OP) </t>
  </si>
  <si>
    <t xml:space="preserve">Forming Drum Inner Felt (DR) </t>
  </si>
  <si>
    <t>Scarfing Roll Felt (OP)</t>
  </si>
  <si>
    <t>Scarfing Roll Felt (DR)</t>
  </si>
  <si>
    <t>Conveyor</t>
  </si>
  <si>
    <t>Drive roll</t>
  </si>
  <si>
    <t>Pillow bearing</t>
  </si>
  <si>
    <t>Pad Integrity Applicator Control Module (Liner side)</t>
  </si>
  <si>
    <t>Pad Integrity Applicator Solenoid Valve (Liner side)</t>
  </si>
  <si>
    <t>Pad Integrity Applicator Control Module (Poly side)</t>
  </si>
  <si>
    <t>Pad Integrity Applicator Solenoid Valve (Poly side)</t>
  </si>
  <si>
    <t>Barrier layer before turn bar silicone drive roll X2</t>
  </si>
  <si>
    <t>Barrier layer after turn bar chrome drive roll X2</t>
  </si>
  <si>
    <t>Pad integrity liner side pullback roller X2</t>
  </si>
  <si>
    <t>Pad integrity poly side pullback roller X2</t>
  </si>
  <si>
    <t>TurnBar</t>
  </si>
  <si>
    <t>Top/Bottom Roller condition</t>
  </si>
  <si>
    <t>Air cylinder</t>
  </si>
  <si>
    <t>Bearing</t>
  </si>
  <si>
    <t>Motor</t>
  </si>
  <si>
    <t>Photoeye</t>
  </si>
  <si>
    <t>Air bank</t>
  </si>
  <si>
    <t>override due date</t>
  </si>
  <si>
    <t>latest date done</t>
  </si>
  <si>
    <t>Historical Data</t>
  </si>
  <si>
    <t>Frequency (days)</t>
  </si>
  <si>
    <t>Sub Section</t>
  </si>
  <si>
    <t>Maintenance Item</t>
  </si>
  <si>
    <t>Forming Drum</t>
  </si>
  <si>
    <t>Pad transfer conveyor</t>
  </si>
  <si>
    <t>Adhesive</t>
  </si>
  <si>
    <t>Roller</t>
  </si>
  <si>
    <t>Debulker Module</t>
  </si>
  <si>
    <t>Debulker Conveyor</t>
  </si>
  <si>
    <t>Fife Guide Barrier</t>
  </si>
  <si>
    <t>Fife Guide Wrapsheet</t>
  </si>
  <si>
    <t>Pneumatic</t>
  </si>
  <si>
    <t>Calculated Due</t>
  </si>
  <si>
    <t>crew</t>
  </si>
  <si>
    <t>Wan</t>
  </si>
  <si>
    <t>Farhan</t>
  </si>
  <si>
    <t xml:space="preserve">Pua </t>
  </si>
  <si>
    <t>Zhao</t>
  </si>
  <si>
    <t>Jackson</t>
  </si>
  <si>
    <t>Pratacp</t>
  </si>
  <si>
    <t>Leander</t>
  </si>
  <si>
    <t>Azmer</t>
  </si>
  <si>
    <t>Afham</t>
  </si>
  <si>
    <t>Sathiya</t>
  </si>
  <si>
    <t>George</t>
  </si>
  <si>
    <t>Aizad</t>
  </si>
  <si>
    <t>Ameer</t>
  </si>
  <si>
    <t>Mano</t>
  </si>
  <si>
    <t>Tong</t>
  </si>
  <si>
    <t>GRui</t>
  </si>
  <si>
    <t>Xiong</t>
  </si>
  <si>
    <t>Gopi</t>
  </si>
  <si>
    <t>XHui</t>
  </si>
  <si>
    <t>Done By</t>
  </si>
  <si>
    <t>MS Raja</t>
  </si>
  <si>
    <t>MS Chua</t>
  </si>
  <si>
    <t>MS Siva</t>
  </si>
  <si>
    <t>ES Prak</t>
  </si>
  <si>
    <t>ES Ram</t>
  </si>
  <si>
    <t>ES Mart</t>
  </si>
  <si>
    <t>ES Chief</t>
  </si>
  <si>
    <t>richard</t>
  </si>
  <si>
    <t>ivan</t>
  </si>
  <si>
    <t>rajesh</t>
  </si>
  <si>
    <t>ID #</t>
  </si>
  <si>
    <t>Due Date</t>
  </si>
  <si>
    <t>AUTOMATED MAINTENANCE SYSTEM</t>
  </si>
  <si>
    <t>CIL/ Adjust</t>
  </si>
  <si>
    <t>Replacement</t>
  </si>
  <si>
    <t>remarks</t>
  </si>
  <si>
    <t>Estimated (mins)</t>
  </si>
  <si>
    <t>Actual (mins)</t>
  </si>
  <si>
    <t>Hammermill</t>
  </si>
  <si>
    <t>Bagger</t>
  </si>
  <si>
    <t xml:space="preserve">PD Blower </t>
  </si>
  <si>
    <t>Cyclon return fan</t>
  </si>
  <si>
    <t xml:space="preserve">Vacuum Fan Dynamic </t>
  </si>
  <si>
    <t xml:space="preserve">Product Vacuum Fan </t>
  </si>
  <si>
    <t xml:space="preserve">Vacuum Suction Fan </t>
  </si>
  <si>
    <t>Trim Fan</t>
  </si>
  <si>
    <t xml:space="preserve">Forming Fan </t>
  </si>
  <si>
    <t xml:space="preserve">Fiberizer Feed Roll </t>
  </si>
  <si>
    <t>Scarfing Return fan</t>
  </si>
  <si>
    <t xml:space="preserve">Product Booster Fan </t>
  </si>
  <si>
    <t xml:space="preserve">Fiberizer </t>
  </si>
  <si>
    <t xml:space="preserve">Surge Module </t>
  </si>
  <si>
    <t xml:space="preserve">De-bulker Module </t>
  </si>
  <si>
    <t xml:space="preserve">Product cut off </t>
  </si>
  <si>
    <t xml:space="preserve">Flap Bonder </t>
  </si>
  <si>
    <t xml:space="preserve">Insert Tacker module </t>
  </si>
  <si>
    <t>Insert Cut off Module</t>
  </si>
  <si>
    <t xml:space="preserve">Product tacker module </t>
  </si>
  <si>
    <t>FCO Module</t>
  </si>
  <si>
    <t>Product rotater</t>
  </si>
  <si>
    <t>Filter</t>
  </si>
  <si>
    <t>Salina</t>
  </si>
  <si>
    <t>PD Blower</t>
  </si>
  <si>
    <t>Pad Cut-off</t>
  </si>
  <si>
    <t>Pad Spacing Conveyor</t>
  </si>
  <si>
    <t>Pad Assembly conveyor</t>
  </si>
  <si>
    <t>Folding Board</t>
  </si>
  <si>
    <t>Insert cut-off Module</t>
  </si>
  <si>
    <t>Insert cut-off Conveyor</t>
  </si>
  <si>
    <t>2 in 1 Module</t>
  </si>
  <si>
    <t>Complex Transfer Drum</t>
  </si>
  <si>
    <t>Complex Transfer Conveyor</t>
  </si>
  <si>
    <t>T4 Panel Conveyor</t>
  </si>
  <si>
    <t>Product Folding Conveyor</t>
  </si>
  <si>
    <t>Product Twist Belt</t>
  </si>
  <si>
    <t>Bi-Fold Conveyor</t>
  </si>
  <si>
    <t>Panel elastic Assembly</t>
  </si>
  <si>
    <t>Disposabe tape module</t>
  </si>
  <si>
    <t>Disposable tape Infeed conveyor</t>
  </si>
  <si>
    <t>Panel Bonder Infeed conveyor assembly</t>
  </si>
  <si>
    <t>Panel Bonder Outfeed conveyor assembly</t>
  </si>
  <si>
    <t>Panel Bonder module</t>
  </si>
  <si>
    <t>Final cut-off module</t>
  </si>
  <si>
    <t>Final cut-off Infeed conveyor assembly</t>
  </si>
  <si>
    <t>Final cut-off Outfeed conveyor assembly</t>
  </si>
  <si>
    <t>Product rotator transfer drum</t>
  </si>
  <si>
    <t>Upper tucker conveyor Assembly</t>
  </si>
  <si>
    <t>Lower tucker conveyor assembly</t>
  </si>
  <si>
    <t>Upper stacker conveyor</t>
  </si>
  <si>
    <t>Surge Module</t>
  </si>
  <si>
    <t>Surge module Infeed conveyor</t>
  </si>
  <si>
    <t>Guiding channel</t>
  </si>
  <si>
    <t>SAM PD Blower Filter</t>
  </si>
  <si>
    <t>SAM Receiving bin filter (top of fan room) 9Filters)</t>
  </si>
  <si>
    <t>Positive displacement Blower Filter Replacement</t>
  </si>
  <si>
    <t xml:space="preserve">CYClone return salina valve Assembly </t>
  </si>
  <si>
    <t>Gearbox</t>
  </si>
  <si>
    <t>Timing Belt</t>
  </si>
  <si>
    <t>bearing</t>
  </si>
  <si>
    <t>Anvil</t>
  </si>
  <si>
    <t>Knife Holder</t>
  </si>
  <si>
    <t>Liner,surge to pad Applicator</t>
  </si>
  <si>
    <t>Pad Attachment Applicator</t>
  </si>
  <si>
    <t>plasma coated drive roll</t>
  </si>
  <si>
    <t>1st flap folding board,SKI,Guiding plate</t>
  </si>
  <si>
    <t>2nd flap folding board,SKI,Guiding plate</t>
  </si>
  <si>
    <t>Insert folding board,SKI,Guiding plate</t>
  </si>
  <si>
    <t>slip ring</t>
  </si>
  <si>
    <t>Flap elastic applicator OP</t>
  </si>
  <si>
    <t>Flap elastic applicator DR</t>
  </si>
  <si>
    <t>Leg elastic applicator OP</t>
  </si>
  <si>
    <t>Leg elastic applicator DR</t>
  </si>
  <si>
    <t>Flap foldover applicator OP</t>
  </si>
  <si>
    <t>Flap foldover applicator DR</t>
  </si>
  <si>
    <t>Laminator applicator</t>
  </si>
  <si>
    <t>Sponge roll</t>
  </si>
  <si>
    <t>Silicon pad</t>
  </si>
  <si>
    <t xml:space="preserve">Insert to back Applicator Control Module </t>
  </si>
  <si>
    <t xml:space="preserve">Insert to back Applicator Solenoid Valve </t>
  </si>
  <si>
    <t xml:space="preserve">Insert to front Applicator Control Module </t>
  </si>
  <si>
    <t xml:space="preserve">Insert to front Applicator Solenoid Valve </t>
  </si>
  <si>
    <t>Silicon Rubber Drum</t>
  </si>
  <si>
    <t>Nip Roll</t>
  </si>
  <si>
    <t>T4 Panel Foldover OP Applicator</t>
  </si>
  <si>
    <t>T4 Panel Foldover DR Applicator</t>
  </si>
  <si>
    <t>Crown roller,shaft</t>
  </si>
  <si>
    <t>Nurling Drive roll</t>
  </si>
  <si>
    <t>Idler,Bearing</t>
  </si>
  <si>
    <t>Cylinder</t>
  </si>
  <si>
    <t>Round belt</t>
  </si>
  <si>
    <t>teflon roller</t>
  </si>
  <si>
    <t>linear bearing</t>
  </si>
  <si>
    <t>drive roll</t>
  </si>
  <si>
    <t>Plasma drive roll</t>
  </si>
  <si>
    <t>Panel elastic applicator</t>
  </si>
  <si>
    <t>Vacuum hose</t>
  </si>
  <si>
    <t>Nurling drive roll</t>
  </si>
  <si>
    <t>pattern mold</t>
  </si>
  <si>
    <t>hydraulic motor</t>
  </si>
  <si>
    <t>hydraulic hose</t>
  </si>
  <si>
    <t xml:space="preserve">heater </t>
  </si>
  <si>
    <t>nurling drive roll</t>
  </si>
  <si>
    <t>cylinder</t>
  </si>
  <si>
    <t>Timing belt</t>
  </si>
  <si>
    <t>Teflon plates</t>
  </si>
  <si>
    <t xml:space="preserve">Bearing DR side </t>
  </si>
  <si>
    <t xml:space="preserve">Motor OP side </t>
  </si>
  <si>
    <t xml:space="preserve">Motor DR side </t>
  </si>
  <si>
    <t xml:space="preserve"> Bearing OP side </t>
  </si>
  <si>
    <t xml:space="preserve"> Bearing DR side </t>
  </si>
  <si>
    <t xml:space="preserve"> Impeler</t>
  </si>
  <si>
    <t xml:space="preserve">Motor DR Side </t>
  </si>
  <si>
    <t>Rotor Blade</t>
  </si>
  <si>
    <t>Air cylinder nip</t>
  </si>
  <si>
    <t>Pneumatic Stand pulp</t>
  </si>
  <si>
    <t xml:space="preserve">Bearing Op side </t>
  </si>
  <si>
    <t xml:space="preserve">Oiler </t>
  </si>
  <si>
    <t xml:space="preserve">Purge X </t>
  </si>
  <si>
    <t xml:space="preserve">Knife clamp </t>
  </si>
  <si>
    <t>Anvil Clamp</t>
  </si>
  <si>
    <t xml:space="preserve">Bearing OP side </t>
  </si>
  <si>
    <t xml:space="preserve">Upper roll Bearing Op side </t>
  </si>
  <si>
    <t xml:space="preserve">Upper roll Bearing DR side </t>
  </si>
  <si>
    <t xml:space="preserve">Bottom roll bearing OP side </t>
  </si>
  <si>
    <t xml:space="preserve">Bottom roll Bearing DR side </t>
  </si>
  <si>
    <t xml:space="preserve">Lubrication tube </t>
  </si>
  <si>
    <t>Knife Clamp</t>
  </si>
  <si>
    <t xml:space="preserve">Lubrication Tube </t>
  </si>
  <si>
    <t>Pulley</t>
  </si>
  <si>
    <t xml:space="preserve">Timing belt </t>
  </si>
  <si>
    <t>Lubrication tube</t>
  </si>
  <si>
    <t xml:space="preserve">Pulley </t>
  </si>
  <si>
    <t xml:space="preserve">Bearing Dr side </t>
  </si>
  <si>
    <t>Knife clamp</t>
  </si>
  <si>
    <t>Anvil clamp</t>
  </si>
  <si>
    <t xml:space="preserve">Tape Knife </t>
  </si>
  <si>
    <t>Conveyor Belt</t>
  </si>
  <si>
    <t>Product rotator</t>
  </si>
  <si>
    <t>shaft, bearing</t>
  </si>
  <si>
    <t>Stacker</t>
  </si>
  <si>
    <t>Paddle wheel</t>
  </si>
  <si>
    <t xml:space="preserve">Movable bearing </t>
  </si>
  <si>
    <t xml:space="preserve">Tensioner </t>
  </si>
  <si>
    <t>Pusher</t>
  </si>
  <si>
    <t xml:space="preserve">Electrical </t>
  </si>
  <si>
    <t>Paddles</t>
  </si>
  <si>
    <t>Drive sprockets</t>
  </si>
  <si>
    <t>Gear box</t>
  </si>
  <si>
    <t xml:space="preserve">Deflection wheel , Big </t>
  </si>
  <si>
    <t>Deflection wheel , Small</t>
  </si>
  <si>
    <t>Bearings of Deflection wheels</t>
  </si>
  <si>
    <t>LM Bearings, Type B, Size 30</t>
  </si>
  <si>
    <t>Guide rod</t>
  </si>
  <si>
    <t>Drive Sprocket</t>
  </si>
  <si>
    <t>Cylinder , D80 H125 G1/8"</t>
  </si>
  <si>
    <t>Tank oil level</t>
  </si>
  <si>
    <t>Linear bearings UP/Down,  0670-020-00 D=32 d=20</t>
  </si>
  <si>
    <t>linear Bearings ,  1035-630-20</t>
  </si>
  <si>
    <t>Linear shafts In/Out</t>
  </si>
  <si>
    <t>Cross bar, Mounting plate</t>
  </si>
  <si>
    <t>Sensor -  Paddle Homing</t>
  </si>
  <si>
    <t>Sensor- Moveable bearing Overtravel run/ under travel run</t>
  </si>
  <si>
    <t>Sensor - Product Counter</t>
  </si>
  <si>
    <t>Sensor - Pusher homing</t>
  </si>
  <si>
    <t>Gold bar at entry</t>
  </si>
  <si>
    <t>Deflection wheel</t>
  </si>
  <si>
    <t>SAM</t>
  </si>
  <si>
    <t>Pulp Sheet Infeed Housekeeping</t>
  </si>
  <si>
    <t>Oil Level</t>
  </si>
  <si>
    <t>Temperature Deg C</t>
  </si>
  <si>
    <t>Elbow Piping(HMM Roof top)</t>
  </si>
  <si>
    <t>Elbow Piping(SAM Feeder to HMM)</t>
  </si>
  <si>
    <t>Pressure vacuum (In Water)</t>
  </si>
  <si>
    <t>Blower Motor Temprature Deg C (SAM Transport to HMM)</t>
  </si>
  <si>
    <t>Moonwalk</t>
  </si>
  <si>
    <t xml:space="preserve">2 in 1 Module </t>
  </si>
  <si>
    <t xml:space="preserve">Chopper module </t>
  </si>
  <si>
    <t xml:space="preserve">Panel Bonder </t>
  </si>
  <si>
    <t>Flap bonder Module</t>
  </si>
  <si>
    <t>Maintacker</t>
  </si>
  <si>
    <t>Fife Guide liner surge to pad</t>
  </si>
  <si>
    <t>Fife Guide Outer cover poly</t>
  </si>
  <si>
    <t>Insert Tacker Module</t>
  </si>
  <si>
    <t>Insert Transfer Drum</t>
  </si>
  <si>
    <t>Insert takeaway drum</t>
  </si>
  <si>
    <t>Fife Guide Back Panel</t>
  </si>
  <si>
    <t>Fife Guide Front Panel</t>
  </si>
  <si>
    <t>Product Tacker Module</t>
  </si>
  <si>
    <t>Panel Feed Assembly</t>
  </si>
  <si>
    <t>Angel Bar</t>
  </si>
  <si>
    <t>Chopper module</t>
  </si>
  <si>
    <t>Panel slitter Assembly</t>
  </si>
  <si>
    <t>Cross roller assembly</t>
  </si>
  <si>
    <t>Disposable tape Fife guide</t>
  </si>
  <si>
    <t xml:space="preserve">Inner panel fife guide </t>
  </si>
  <si>
    <t>Product rotator module</t>
  </si>
  <si>
    <t>Product rotator takeaway drum</t>
  </si>
  <si>
    <t>Fife Guide</t>
  </si>
  <si>
    <t>Liner surge embosse</t>
  </si>
  <si>
    <t>Splicing unit</t>
  </si>
  <si>
    <t>Festoon</t>
  </si>
  <si>
    <t>Pre-Compression</t>
  </si>
  <si>
    <t xml:space="preserve">Double infeed Pusher </t>
  </si>
  <si>
    <t xml:space="preserve">Bar Conveyor Extension </t>
  </si>
  <si>
    <t xml:space="preserve">Bar Conveyor </t>
  </si>
  <si>
    <t>Spreader Assembly</t>
  </si>
  <si>
    <t xml:space="preserve">Overhead Conveyor </t>
  </si>
  <si>
    <t xml:space="preserve">Main Drive </t>
  </si>
  <si>
    <t>Section Arm</t>
  </si>
  <si>
    <t xml:space="preserve">Welding jaw </t>
  </si>
  <si>
    <t xml:space="preserve">Trim Removal Chute </t>
  </si>
  <si>
    <t>Tucker</t>
  </si>
  <si>
    <t>Electrical</t>
  </si>
  <si>
    <t>Other</t>
  </si>
  <si>
    <t>Inclined Conveyor</t>
  </si>
  <si>
    <t xml:space="preserve">Infeed Conveyor metal  Detector </t>
  </si>
  <si>
    <t>Weighing Pan</t>
  </si>
  <si>
    <t>Outfeed Conveyor</t>
  </si>
  <si>
    <t>Flat Infeed Conveyor</t>
  </si>
  <si>
    <t>Turning Conveyor</t>
  </si>
  <si>
    <t>Stacker Infeed Conveyor</t>
  </si>
  <si>
    <t>Jam Detector</t>
  </si>
  <si>
    <t>Holding Plates</t>
  </si>
  <si>
    <t xml:space="preserve">Stacking Unit Pulling Belt </t>
  </si>
  <si>
    <t xml:space="preserve">Stacking Unit  </t>
  </si>
  <si>
    <t>Transfer Guides</t>
  </si>
  <si>
    <t xml:space="preserve">Infeed Pusher </t>
  </si>
  <si>
    <t>Mouth Piece</t>
  </si>
  <si>
    <t>Magazine Drive</t>
  </si>
  <si>
    <t>Main Drive- Erecting Arm</t>
  </si>
  <si>
    <t>Main Drive- Suction Arm</t>
  </si>
  <si>
    <t>Main Drive - Folders</t>
  </si>
  <si>
    <t>Main Drive- Drive Unit</t>
  </si>
  <si>
    <t>Main Drive - Main Pushers</t>
  </si>
  <si>
    <t>Mechanical Pressing Unit</t>
  </si>
  <si>
    <t>Main  Air</t>
  </si>
  <si>
    <t>Main Air</t>
  </si>
  <si>
    <t>Glue Unit</t>
  </si>
  <si>
    <t>Retainer Rollers</t>
  </si>
  <si>
    <t>Adhesive Unit</t>
  </si>
  <si>
    <t xml:space="preserve">Printer Cases </t>
  </si>
  <si>
    <t xml:space="preserve">Flipper </t>
  </si>
  <si>
    <t>Roller Conveyor</t>
  </si>
  <si>
    <t>Product centering  Unit</t>
  </si>
  <si>
    <t>De-Palletizer</t>
  </si>
  <si>
    <t>Stacking Station</t>
  </si>
  <si>
    <t>Wrapping Machine</t>
  </si>
  <si>
    <t xml:space="preserve">Vaccum Pad </t>
  </si>
  <si>
    <t xml:space="preserve">shaft </t>
  </si>
  <si>
    <t>Silicon idler roller,bearing</t>
  </si>
  <si>
    <t>Silicon nip roll,bearing</t>
  </si>
  <si>
    <t>Idler,bearing,Bubble Tape</t>
  </si>
  <si>
    <t>Heater</t>
  </si>
  <si>
    <t>Pattern Mold</t>
  </si>
  <si>
    <t>Nip roll</t>
  </si>
  <si>
    <t>Plasma roller(TOP)</t>
  </si>
  <si>
    <t>Plasma rollere(Bottom)</t>
  </si>
  <si>
    <t>chrome drive roll</t>
  </si>
  <si>
    <t>silicon nip roll</t>
  </si>
  <si>
    <t>Idler bearing</t>
  </si>
  <si>
    <t>Drum</t>
  </si>
  <si>
    <t>Vacuum</t>
  </si>
  <si>
    <t>Commutator Felt</t>
  </si>
  <si>
    <t>Drum Top Felt</t>
  </si>
  <si>
    <t>Damper</t>
  </si>
  <si>
    <t>Vaccum hose Replacement</t>
  </si>
  <si>
    <t>Pucks condition</t>
  </si>
  <si>
    <t>Bearing,cam,rail</t>
  </si>
  <si>
    <t>Idler Bearing</t>
  </si>
  <si>
    <t>Insert to back panel pullback roller X2</t>
  </si>
  <si>
    <t>Insert to front panel pullback roller X2</t>
  </si>
  <si>
    <t>Crown roller,shaft,(X12 Bearing 6004 2Z)</t>
  </si>
  <si>
    <t>Idler</t>
  </si>
  <si>
    <t>Plasma roller(top)</t>
  </si>
  <si>
    <t>Plasma rollerBottom)</t>
  </si>
  <si>
    <t>Plama roll</t>
  </si>
  <si>
    <t>idler bearing</t>
  </si>
  <si>
    <t>Pattern mold</t>
  </si>
  <si>
    <t>Knife</t>
  </si>
  <si>
    <t>Silicon Drive roll</t>
  </si>
  <si>
    <t>shaft</t>
  </si>
  <si>
    <t>idler</t>
  </si>
  <si>
    <t>Lycra spool</t>
  </si>
  <si>
    <t>lycra sensor</t>
  </si>
  <si>
    <t>nip roll</t>
  </si>
  <si>
    <t>lycra spacing roller</t>
  </si>
  <si>
    <t>Purge X</t>
  </si>
  <si>
    <t xml:space="preserve">Idler </t>
  </si>
  <si>
    <t>shaft bearing</t>
  </si>
  <si>
    <t xml:space="preserve">Fibra Bar </t>
  </si>
  <si>
    <t>vacuum</t>
  </si>
  <si>
    <t>conveyor</t>
  </si>
  <si>
    <t>Vaccum hose</t>
  </si>
  <si>
    <t xml:space="preserve">Pucks </t>
  </si>
  <si>
    <t xml:space="preserve">idler </t>
  </si>
  <si>
    <t>tucker blade</t>
  </si>
  <si>
    <t xml:space="preserve">Silicon idler roller </t>
  </si>
  <si>
    <t>Silicon nip roll</t>
  </si>
  <si>
    <t>Patern mold</t>
  </si>
  <si>
    <t>anvil</t>
  </si>
  <si>
    <t>motor</t>
  </si>
  <si>
    <t>felt</t>
  </si>
  <si>
    <t>cupling</t>
  </si>
  <si>
    <t>cutter</t>
  </si>
  <si>
    <t>stomper</t>
  </si>
  <si>
    <t>pneumatic fitting</t>
  </si>
  <si>
    <t>Carbon roller</t>
  </si>
  <si>
    <t>Chrome drive roll</t>
  </si>
  <si>
    <t>sponge roll</t>
  </si>
  <si>
    <t>sensor</t>
  </si>
  <si>
    <t>Linearing bearing</t>
  </si>
  <si>
    <t>Mounting of guiding channel</t>
  </si>
  <si>
    <t>Lead screw assembly</t>
  </si>
  <si>
    <t>Dial indicators</t>
  </si>
  <si>
    <t>Slider Assembly</t>
  </si>
  <si>
    <t>Drive belt</t>
  </si>
  <si>
    <t>Drive pulley</t>
  </si>
  <si>
    <t>Gear box, SP075-MF1-4-131</t>
  </si>
  <si>
    <t>Coupling</t>
  </si>
  <si>
    <t>Rollers and bearings</t>
  </si>
  <si>
    <t>Center line of Pre-comp plates</t>
  </si>
  <si>
    <t>Linear shafts Up/Down</t>
  </si>
  <si>
    <t>linear Bearings IN/Out,  1035-630-20</t>
  </si>
  <si>
    <t>Linear shaft In/Out</t>
  </si>
  <si>
    <t>Mounting plate</t>
  </si>
  <si>
    <t>Flange bearing</t>
  </si>
  <si>
    <t>Rod end bearings , d12 Male</t>
  </si>
  <si>
    <t>Rod end bearings , d10 Male</t>
  </si>
  <si>
    <t>Gear box Up/ Down, SP75-MF2-28-21:i=28</t>
  </si>
  <si>
    <t>Gear box IN/Out, AS1326,  B460/SP100 i=28 V1</t>
  </si>
  <si>
    <t>Base plate</t>
  </si>
  <si>
    <t>Chain</t>
  </si>
  <si>
    <t>Bars</t>
  </si>
  <si>
    <t>Bar holders</t>
  </si>
  <si>
    <t>Driven sprockets</t>
  </si>
  <si>
    <t>Idler sprockets</t>
  </si>
  <si>
    <t>Idler sprocket bearings, D=42, d=20, B=12</t>
  </si>
  <si>
    <t>Flange Bearings of drive shaft</t>
  </si>
  <si>
    <t>Flange Bearing behind clutch</t>
  </si>
  <si>
    <t xml:space="preserve">Drive shaft </t>
  </si>
  <si>
    <t>Drive Pulley</t>
  </si>
  <si>
    <t>Idler pulley</t>
  </si>
  <si>
    <t>Idler pulley bearing</t>
  </si>
  <si>
    <t>Drive belt  50MMW,2240MML,8MM PITCH,HTD</t>
  </si>
  <si>
    <t>Timing belt (Clutch) HTD</t>
  </si>
  <si>
    <t>Pulley mounted on Clutch</t>
  </si>
  <si>
    <t>Tensioning pulley</t>
  </si>
  <si>
    <t>Tensioning pulley bearing</t>
  </si>
  <si>
    <t>Clutch</t>
  </si>
  <si>
    <t>Tensioner Cylinders</t>
  </si>
  <si>
    <t>L-plates</t>
  </si>
  <si>
    <t>Teflon plates of spreader</t>
  </si>
  <si>
    <t>Mounting frames of Spreader, RH</t>
  </si>
  <si>
    <t>Mounting frames of Spreader, LH</t>
  </si>
  <si>
    <t>Bearings of Square shaft</t>
  </si>
  <si>
    <t xml:space="preserve">Upper Spreader plates </t>
  </si>
  <si>
    <t>Lower spreader plates</t>
  </si>
  <si>
    <t>Rod end bearings</t>
  </si>
  <si>
    <t>Cylinder, ADVU32-25-A-P-A</t>
  </si>
  <si>
    <t>Air fittings/ hoses</t>
  </si>
  <si>
    <t>Slider</t>
  </si>
  <si>
    <t>Slider condition (Damages/ Play in CD or MD)</t>
  </si>
  <si>
    <t>CAM track</t>
  </si>
  <si>
    <t>CAM follower (Plastic)</t>
  </si>
  <si>
    <t>CAM follower bearing, LR 361200, D=32mm, d=10mm</t>
  </si>
  <si>
    <t>CAM follower plates</t>
  </si>
  <si>
    <t>Sprockets - drive</t>
  </si>
  <si>
    <t>Driven Sprocket,  z=20/40 t=31,75</t>
  </si>
  <si>
    <t>Sprocket bearings</t>
  </si>
  <si>
    <t>Overhead conveyor Shaft</t>
  </si>
  <si>
    <t>Flange bearings</t>
  </si>
  <si>
    <t>Holders on chain</t>
  </si>
  <si>
    <t>Drive pulley OP side (Plastic)</t>
  </si>
  <si>
    <t>Drive Pulley DR side (Plastic)</t>
  </si>
  <si>
    <t>Hub at drive sprocket</t>
  </si>
  <si>
    <t>Bearings inside hub</t>
  </si>
  <si>
    <t>Drive belt 50MMW,4400MML,8MM PITCH,HTD</t>
  </si>
  <si>
    <t>Timing pulley mounted on Clutch</t>
  </si>
  <si>
    <t>Clutch, Kupplung - secmatic 580.21.3.1</t>
  </si>
  <si>
    <t>Tensioner Cylinders, ADVU-63-50-P-A-G1/8</t>
  </si>
  <si>
    <t>OH pusher Arm</t>
  </si>
  <si>
    <t>CAM Disc - Welding jaw</t>
  </si>
  <si>
    <t>CAM Follower  - Welding jaw</t>
  </si>
  <si>
    <t>cam roller bearing nukr 40 m18x1.5</t>
  </si>
  <si>
    <t>Connecting rod - Welding Jaw</t>
  </si>
  <si>
    <t>Welding Cylinder</t>
  </si>
  <si>
    <t>Rod end bearings on both ends</t>
  </si>
  <si>
    <t>CAM Disc - Spreader Assembly</t>
  </si>
  <si>
    <t>CAM Follower - Spreader Assembly</t>
  </si>
  <si>
    <t>Connecting rod - Spreader Assembly</t>
  </si>
  <si>
    <t>Rod end bearings - Spreader assembly</t>
  </si>
  <si>
    <t>Moving carriage - Spreader assembly</t>
  </si>
  <si>
    <t>Linear shafts for Moving carraige</t>
  </si>
  <si>
    <t>Linear bearings of moving carraige, 0670-20-00</t>
  </si>
  <si>
    <t>CAM Disc - Suction arm</t>
  </si>
  <si>
    <t>CAM Follower - Suction arm</t>
  </si>
  <si>
    <t>Connecting rod - Suction arm</t>
  </si>
  <si>
    <t>Rod end bearings - Suction arm, M10 x 1.25 RH</t>
  </si>
  <si>
    <t>Suction arm cylinder, D=32, H=50, G=1/8</t>
  </si>
  <si>
    <t>Timing Pulley - Bar conveyor</t>
  </si>
  <si>
    <t>Timing Pulley - Overhead conveyor</t>
  </si>
  <si>
    <t>Incremental rotary encoder</t>
  </si>
  <si>
    <t>Encoder mounting,  clutch 14pa d=10h7</t>
  </si>
  <si>
    <t>Gear head</t>
  </si>
  <si>
    <t>Flange Bearings</t>
  </si>
  <si>
    <t>Suction Arms holder</t>
  </si>
  <si>
    <t>Vacuum Generator   , PIAB MLD 100</t>
  </si>
  <si>
    <t xml:space="preserve">Vacuum Generator fittings </t>
  </si>
  <si>
    <t>Rod End bearings, M12 and M12 LH</t>
  </si>
  <si>
    <t>Linear Bearings Up/Down</t>
  </si>
  <si>
    <t>Linear bearing housing  - Knife</t>
  </si>
  <si>
    <t>Knife holder</t>
  </si>
  <si>
    <t>Cylinders  - Knife</t>
  </si>
  <si>
    <t>Linear bearing housing  - Hold down</t>
  </si>
  <si>
    <t>Hold down holder</t>
  </si>
  <si>
    <t>Cylinders  - Hold down</t>
  </si>
  <si>
    <t>Suction rail - Upper</t>
  </si>
  <si>
    <t>Suction rail - Lower</t>
  </si>
  <si>
    <t>Trim removal Chute</t>
  </si>
  <si>
    <t xml:space="preserve"> Cylinder</t>
  </si>
  <si>
    <t>Cylinder mounting</t>
  </si>
  <si>
    <t>Flaps</t>
  </si>
  <si>
    <t>Plastic Cam plate</t>
  </si>
  <si>
    <t>CAM follower bearing</t>
  </si>
  <si>
    <t>Tucker OP/ DR</t>
  </si>
  <si>
    <t xml:space="preserve">Infeed Pusher Homing Sensor </t>
  </si>
  <si>
    <t>Cassette homing sensor</t>
  </si>
  <si>
    <t>Product sensor at bar conveyor</t>
  </si>
  <si>
    <t>Main compression Overtravel/ Under travel sensors</t>
  </si>
  <si>
    <t>Main compression Homing sensor</t>
  </si>
  <si>
    <t>Bar conveyor Clutch sensor</t>
  </si>
  <si>
    <t>Overhead conveyor Clutch sensor</t>
  </si>
  <si>
    <t>Welding cylinder REED switch</t>
  </si>
  <si>
    <t>Filter regulator</t>
  </si>
  <si>
    <t>Air regulators at main panel</t>
  </si>
  <si>
    <t>Blower filter</t>
  </si>
  <si>
    <t>Drive pulleys</t>
  </si>
  <si>
    <t>Flat conveyor belt</t>
  </si>
  <si>
    <t>Drive Shaft</t>
  </si>
  <si>
    <t>Rollers</t>
  </si>
  <si>
    <t>Roller bearings</t>
  </si>
  <si>
    <t>Drive Shaft -  Bearings</t>
  </si>
  <si>
    <t>Pillow blocks</t>
  </si>
  <si>
    <t>Timing Belt and pulleys</t>
  </si>
  <si>
    <t>Tensioner roller</t>
  </si>
  <si>
    <t>Weighing Pan- Support blocks</t>
  </si>
  <si>
    <t>Sprockets</t>
  </si>
  <si>
    <t>Chains</t>
  </si>
  <si>
    <t>Chain guides</t>
  </si>
  <si>
    <t>Product Sensor</t>
  </si>
  <si>
    <t>Tail detection sensors</t>
  </si>
  <si>
    <t>Flat Belt   HE 3/2- 500 x 5700</t>
  </si>
  <si>
    <t>Conveyor roller - Infeed</t>
  </si>
  <si>
    <t>Conveyor roller bearings - Infeed</t>
  </si>
  <si>
    <t>Conveyor roller - Outfeed</t>
  </si>
  <si>
    <t>Conveyor roller bearings - Outfeed</t>
  </si>
  <si>
    <t xml:space="preserve">Drive roller </t>
  </si>
  <si>
    <t>Driver roller bearing</t>
  </si>
  <si>
    <t xml:space="preserve">Tensioner  roller </t>
  </si>
  <si>
    <t>Tensioner roller bearings</t>
  </si>
  <si>
    <t>Timing pulleys</t>
  </si>
  <si>
    <t>Guide rails</t>
  </si>
  <si>
    <t>Mounting of guide rails</t>
  </si>
  <si>
    <t>Flat Belt</t>
  </si>
  <si>
    <t>Flat Belt    HE 3/2- 500 x 3400</t>
  </si>
  <si>
    <t>Slider assembly</t>
  </si>
  <si>
    <t>Tension spring</t>
  </si>
  <si>
    <t>Dial Indicator</t>
  </si>
  <si>
    <t>Holding plates</t>
  </si>
  <si>
    <t>Cylinders</t>
  </si>
  <si>
    <t>Fittings and Hose</t>
  </si>
  <si>
    <t>Mounting block and locking lever</t>
  </si>
  <si>
    <t>Spline Shafts</t>
  </si>
  <si>
    <t xml:space="preserve">Spline Bushing </t>
  </si>
  <si>
    <t>Bearings</t>
  </si>
  <si>
    <t xml:space="preserve">Rollers </t>
  </si>
  <si>
    <t>Tensioner and rollers</t>
  </si>
  <si>
    <t>Green Belts</t>
  </si>
  <si>
    <t>Dial indicator</t>
  </si>
  <si>
    <t>Elevator CAM</t>
  </si>
  <si>
    <t>Elevator CAM follower</t>
  </si>
  <si>
    <t>Linear bearings / Shaft</t>
  </si>
  <si>
    <t>Lead screw</t>
  </si>
  <si>
    <t>Retainer CAM</t>
  </si>
  <si>
    <t>Retainer CAM followers and bearing</t>
  </si>
  <si>
    <t>Motor Brake</t>
  </si>
  <si>
    <t>Linear bearings and shafts</t>
  </si>
  <si>
    <t>LM guides</t>
  </si>
  <si>
    <t>LM guide - Support rollers</t>
  </si>
  <si>
    <t>LM guide  - Support block</t>
  </si>
  <si>
    <t>Guide plate</t>
  </si>
  <si>
    <t>Brush Holder</t>
  </si>
  <si>
    <t>Over head chain</t>
  </si>
  <si>
    <t>Overhead sprockets</t>
  </si>
  <si>
    <t>Linear  bearings</t>
  </si>
  <si>
    <t>Pusher carraige Linear shaft and bearings</t>
  </si>
  <si>
    <t>Carraige bearing</t>
  </si>
  <si>
    <t>Drive belt to encoder</t>
  </si>
  <si>
    <t>Tie rods</t>
  </si>
  <si>
    <t xml:space="preserve">Rod end bearings </t>
  </si>
  <si>
    <t>Pusher plate  - Hinge</t>
  </si>
  <si>
    <t>Hinge lever and  bearings</t>
  </si>
  <si>
    <t>Linear bearings</t>
  </si>
  <si>
    <t>CAM plate</t>
  </si>
  <si>
    <t>Tie rod</t>
  </si>
  <si>
    <t>Slider unit</t>
  </si>
  <si>
    <t>Mouth piece Holder - Bearing</t>
  </si>
  <si>
    <t>Guide plates</t>
  </si>
  <si>
    <t>Belts</t>
  </si>
  <si>
    <t>Stoppers</t>
  </si>
  <si>
    <t>CAM Disc of Erecting arm</t>
  </si>
  <si>
    <t>CAM follower of erecting arm CAM</t>
  </si>
  <si>
    <t>CAM follower bearing of erecting arm CAM</t>
  </si>
  <si>
    <t xml:space="preserve">Tie rod </t>
  </si>
  <si>
    <t>Vacuum Hose</t>
  </si>
  <si>
    <t>Suction Cups</t>
  </si>
  <si>
    <t>CAM Disc of Suction arm</t>
  </si>
  <si>
    <t>CAM followers of Suction arm CAM</t>
  </si>
  <si>
    <t>CAM follower bearing of suction arm CAM</t>
  </si>
  <si>
    <t xml:space="preserve">Tie rods </t>
  </si>
  <si>
    <t>CAM Disc of Flap folders</t>
  </si>
  <si>
    <t>CAM followers of Flap folder CAM</t>
  </si>
  <si>
    <t>CAM follower bearing of Flap folder CAM</t>
  </si>
  <si>
    <t>Tie Rods</t>
  </si>
  <si>
    <t>Clutch and sensor of Stack buffer plate</t>
  </si>
  <si>
    <t>Clutch and sensor of Rear folder</t>
  </si>
  <si>
    <t xml:space="preserve">Tie Rod Flap Holder </t>
  </si>
  <si>
    <t>Flap holder bearings</t>
  </si>
  <si>
    <t>Spline Shaft</t>
  </si>
  <si>
    <t>Pulleys</t>
  </si>
  <si>
    <t>Sprocket bearing</t>
  </si>
  <si>
    <t>Arm Bearings</t>
  </si>
  <si>
    <t>Linear shaft and bearings</t>
  </si>
  <si>
    <t>Guide rollers</t>
  </si>
  <si>
    <t>Main Pusher holder</t>
  </si>
  <si>
    <t>Cross Pushers - Stoppers of Latch</t>
  </si>
  <si>
    <t>Auxiliary CAM disc</t>
  </si>
  <si>
    <t>CAM follower plate</t>
  </si>
  <si>
    <t>CAM follower Bearing</t>
  </si>
  <si>
    <t>Spline shaft</t>
  </si>
  <si>
    <t>Bushings</t>
  </si>
  <si>
    <t>Flanged bearings</t>
  </si>
  <si>
    <t>Linear shafts and bearings of pressing unit</t>
  </si>
  <si>
    <t>Sliding units</t>
  </si>
  <si>
    <t>Dial Indicators</t>
  </si>
  <si>
    <t xml:space="preserve">Air hose </t>
  </si>
  <si>
    <t xml:space="preserve">Regulator </t>
  </si>
  <si>
    <t>Sliding Unit UP/Down</t>
  </si>
  <si>
    <t>Sliding Unit IN/OUT</t>
  </si>
  <si>
    <t>Gun modules</t>
  </si>
  <si>
    <t>Nozzles</t>
  </si>
  <si>
    <t>Filters</t>
  </si>
  <si>
    <t>Air fittings and hoses</t>
  </si>
  <si>
    <t>Solenoid valves</t>
  </si>
  <si>
    <t>Sliding Units</t>
  </si>
  <si>
    <t>Vacuum Pump filter</t>
  </si>
  <si>
    <t>Central Lubrication Oil</t>
  </si>
  <si>
    <t xml:space="preserve">Lubrication lines </t>
  </si>
  <si>
    <t>Air supply  - Filter regulator</t>
  </si>
  <si>
    <t xml:space="preserve">Melter Filter </t>
  </si>
  <si>
    <t>Hoses (Fittings and any external damages)</t>
  </si>
  <si>
    <t>Melter tank</t>
  </si>
  <si>
    <t xml:space="preserve">Connetor ink </t>
  </si>
  <si>
    <t>Flipper mounting shaft</t>
  </si>
  <si>
    <t>Pillow block</t>
  </si>
  <si>
    <t xml:space="preserve">Cylinder </t>
  </si>
  <si>
    <t>Poly cords</t>
  </si>
  <si>
    <t>Universal coupling</t>
  </si>
  <si>
    <t>Drive chain</t>
  </si>
  <si>
    <t>Guide rods</t>
  </si>
  <si>
    <t>De-palletizer diverter chain</t>
  </si>
  <si>
    <t>Diverter chain</t>
  </si>
  <si>
    <t>Turn Table</t>
  </si>
  <si>
    <t>Hot wire</t>
  </si>
  <si>
    <t>Wire mount</t>
  </si>
  <si>
    <t xml:space="preserve">Suction Pad </t>
  </si>
  <si>
    <t xml:space="preserve">Suction Pad Condition </t>
  </si>
  <si>
    <t>Hoses</t>
  </si>
  <si>
    <t xml:space="preserve">Bearing PO side </t>
  </si>
  <si>
    <t xml:space="preserve">Temperature  </t>
  </si>
  <si>
    <t xml:space="preserve">Oil level </t>
  </si>
  <si>
    <t xml:space="preserve">Temperature </t>
  </si>
  <si>
    <t>Lubrication  TUBE</t>
  </si>
  <si>
    <t>Eccentric roller bearing</t>
  </si>
  <si>
    <t xml:space="preserve">Cam roller </t>
  </si>
  <si>
    <t xml:space="preserve">Upper roll Bearing OP side </t>
  </si>
  <si>
    <t xml:space="preserve">Bottom roll Bearing OP side </t>
  </si>
  <si>
    <t>Gear</t>
  </si>
  <si>
    <t xml:space="preserve">Bonder </t>
  </si>
  <si>
    <t xml:space="preserve">Hydralic pressue </t>
  </si>
  <si>
    <t>Belt</t>
  </si>
  <si>
    <t>PM Alarm</t>
  </si>
  <si>
    <t>Send Email</t>
  </si>
  <si>
    <t>Send Email2</t>
  </si>
  <si>
    <t>Remarks</t>
  </si>
  <si>
    <t>Send Email 3</t>
  </si>
  <si>
    <t>nil</t>
  </si>
  <si>
    <t>ICO Conveyor Sponge roll</t>
  </si>
  <si>
    <t>Pulp</t>
  </si>
  <si>
    <t>CFA</t>
  </si>
  <si>
    <t>WSM</t>
  </si>
  <si>
    <t>BarrierLayerUnwind</t>
  </si>
  <si>
    <t>FlapUnwind</t>
  </si>
  <si>
    <t>InnerPanelUnwind</t>
  </si>
  <si>
    <t>RELUnwind</t>
  </si>
  <si>
    <t>OuterPanelUnwind</t>
  </si>
  <si>
    <t>LinerUnwind</t>
  </si>
  <si>
    <t>OCClothUnwind</t>
  </si>
  <si>
    <t>OCPolyUnwind</t>
  </si>
  <si>
    <t>SurgeUnwind</t>
  </si>
  <si>
    <t>WrapLayerUnwind</t>
  </si>
  <si>
    <t>TapeUnwind</t>
  </si>
  <si>
    <t>PanelElastic</t>
  </si>
  <si>
    <t>x</t>
  </si>
  <si>
    <t>SEC0</t>
  </si>
  <si>
    <t>SEC1</t>
  </si>
  <si>
    <t>SEC2</t>
  </si>
  <si>
    <t>SEC3</t>
  </si>
  <si>
    <t>SEC4</t>
  </si>
  <si>
    <t>SEC5</t>
  </si>
  <si>
    <t>SEC6</t>
  </si>
  <si>
    <t>SEC7</t>
  </si>
  <si>
    <t>SEC8</t>
  </si>
  <si>
    <t>SEC9</t>
  </si>
  <si>
    <t>SEC10</t>
  </si>
  <si>
    <t>AuxilliaryFans</t>
  </si>
  <si>
    <t>FEOverend</t>
  </si>
  <si>
    <t>LEOverend</t>
  </si>
  <si>
    <t>priorityItems</t>
  </si>
  <si>
    <t>focke</t>
  </si>
  <si>
    <t>melter1</t>
  </si>
  <si>
    <t>melter2</t>
  </si>
  <si>
    <t>melter3</t>
  </si>
  <si>
    <t>melter4</t>
  </si>
  <si>
    <t>melter5</t>
  </si>
  <si>
    <t>melter6</t>
  </si>
  <si>
    <t>melter7</t>
  </si>
  <si>
    <t>melter8</t>
  </si>
  <si>
    <t>melter9</t>
  </si>
  <si>
    <t>priority</t>
  </si>
  <si>
    <t>Legend:</t>
  </si>
  <si>
    <t>Manual Input</t>
  </si>
  <si>
    <t>Auto and Manual Input</t>
  </si>
  <si>
    <t>Auto Only</t>
  </si>
  <si>
    <t>Highlighted Values</t>
  </si>
  <si>
    <t>PS Manual Input
priority items</t>
  </si>
  <si>
    <t>health</t>
  </si>
  <si>
    <t>Overall Health</t>
  </si>
  <si>
    <t>pending items</t>
  </si>
  <si>
    <t>good items</t>
  </si>
  <si>
    <t>Metrics</t>
  </si>
  <si>
    <t>Machine Overall Health</t>
  </si>
  <si>
    <t>Performance</t>
  </si>
  <si>
    <t xml:space="preserve">10days before
replacement </t>
  </si>
  <si>
    <t>wid</t>
  </si>
  <si>
    <t>xxx</t>
  </si>
  <si>
    <t>W08244</t>
  </si>
  <si>
    <t>W89122</t>
  </si>
  <si>
    <t>W66444</t>
  </si>
  <si>
    <t>W49906</t>
  </si>
  <si>
    <t>W66488</t>
  </si>
  <si>
    <t>W08235</t>
  </si>
  <si>
    <t>W89171</t>
  </si>
  <si>
    <t>W47989</t>
  </si>
  <si>
    <t>W66786</t>
  </si>
  <si>
    <t>W66326</t>
  </si>
  <si>
    <t>W91926</t>
  </si>
  <si>
    <t>W62410</t>
  </si>
  <si>
    <t>W45507</t>
  </si>
  <si>
    <t>W67621</t>
  </si>
  <si>
    <t>W47593</t>
  </si>
  <si>
    <t>W08243</t>
  </si>
  <si>
    <t>W47567</t>
  </si>
  <si>
    <t>W89342</t>
  </si>
  <si>
    <t>W99970</t>
  </si>
  <si>
    <t>W49907</t>
  </si>
  <si>
    <t>W89289</t>
  </si>
  <si>
    <t>Ychao</t>
  </si>
  <si>
    <t>YchaoW08244</t>
  </si>
  <si>
    <t>ManoW89122</t>
  </si>
  <si>
    <t>WanW66444</t>
  </si>
  <si>
    <t>FarhanW49906</t>
  </si>
  <si>
    <t>TongW66488</t>
  </si>
  <si>
    <t>GRuiW08235</t>
  </si>
  <si>
    <t>PuaW89171</t>
  </si>
  <si>
    <t>ZhaoW47989</t>
  </si>
  <si>
    <t>JacksonW66786</t>
  </si>
  <si>
    <t>PratacpW66326</t>
  </si>
  <si>
    <t>XiongW91926</t>
  </si>
  <si>
    <t>LeanderW62410</t>
  </si>
  <si>
    <t>AzmerW45507</t>
  </si>
  <si>
    <t>AfhamW67621</t>
  </si>
  <si>
    <t>GopiW47593</t>
  </si>
  <si>
    <t>XHuiW08243</t>
  </si>
  <si>
    <t>SathiyaW47567</t>
  </si>
  <si>
    <t>GeorgeW89342</t>
  </si>
  <si>
    <t>AizadW99970</t>
  </si>
  <si>
    <t>AmeerW49907</t>
  </si>
  <si>
    <t>MS Rajaxxx</t>
  </si>
  <si>
    <t>MS Chuaxxx</t>
  </si>
  <si>
    <t>MS Sivaxxx</t>
  </si>
  <si>
    <t>ES Ramxxx</t>
  </si>
  <si>
    <t>ES Prakxxx</t>
  </si>
  <si>
    <t>ES Martxxx</t>
  </si>
  <si>
    <t>ES Chiefxxx</t>
  </si>
  <si>
    <t>ivanxxx</t>
  </si>
  <si>
    <t>rajeshxxx</t>
  </si>
  <si>
    <t>richardW89289</t>
  </si>
  <si>
    <t>*** FOR TIER CHANGE TO MAGIC COCO, PLS DON’T FORGET TO CHECK IF PALLETS HAVE TIER SHEET ON TOP ***</t>
  </si>
  <si>
    <t>*** FOR MAGIC COCO XL, PLS USE A SMALL TIERSHEET ALREADY PREPARED AT MOONWALK AREA ***</t>
  </si>
  <si>
    <t>need to fabricate new shaft</t>
  </si>
  <si>
    <t>email</t>
  </si>
  <si>
    <t>to</t>
  </si>
  <si>
    <t>cc</t>
  </si>
  <si>
    <t>Ho, WeiYee &lt;WeiYee.Ho@kcc.com&gt;</t>
  </si>
  <si>
    <t>OuYang, Johnson &lt;Johnson.OuYang@kcc.com&gt;</t>
  </si>
  <si>
    <t>Tay, LamChai &lt;LamChai.Tay@kcc.com&gt;</t>
  </si>
  <si>
    <t>Said, Roy &lt;Roy.H.Said@kcc.com</t>
  </si>
  <si>
    <t>Ibrahim, Muhammad Nasser &lt;MuhammadNasser.BinIbrahim@kcc.com&gt;</t>
  </si>
  <si>
    <t>De Los Trinos, Richard &lt;Richard.DeLosTrinos@kcc.com&gt;</t>
  </si>
  <si>
    <t>Sonawane, Rajesh &lt;Rajesh.Sonawane@kcc.com&gt;</t>
  </si>
  <si>
    <t>Radhakrishnan, Rajasekaran &lt;Radhakrishnan.Rajasekaran@kcc.com&gt;</t>
  </si>
  <si>
    <t>applicator drain thread spoil</t>
  </si>
  <si>
    <t>no spare</t>
  </si>
  <si>
    <t>Banners/ Reminders</t>
  </si>
  <si>
    <t>Progress Chart</t>
  </si>
  <si>
    <t>Dolhare, Tushar &lt;Tushar.Dolhare@kcc.com&gt;</t>
  </si>
  <si>
    <t>need bearing replacement for the driven roll by this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</si>
</sst>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m\ d\,\ yyyy;@"/>
    <numFmt numFmtId="165" formatCode="[$-409]dd\-mmm\-yy;@"/>
    <numFmt numFmtId="166" formatCode="[$-409]d\-mmm\-yy;@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8EA9DB"/>
      </left>
      <right/>
      <top style="thin">
        <color rgb="FF8EA9DB"/>
      </top>
      <bottom/>
      <diagonal/>
    </border>
    <border>
      <left/>
      <right/>
      <top style="thin">
        <color rgb="FF8EA9DB"/>
      </top>
      <bottom/>
      <diagonal/>
    </border>
    <border>
      <left/>
      <right/>
      <top style="thin">
        <color theme="4" tint="0.39997558519241921"/>
      </top>
      <bottom style="thin">
        <color rgb="FF8EA9DB"/>
      </bottom>
      <diagonal/>
    </border>
    <border>
      <left style="thin">
        <color rgb="FF8EA9DB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6" xfId="0" applyBorder="1"/>
    <xf numFmtId="0" fontId="0" fillId="0" borderId="7" xfId="0" applyBorder="1" applyAlignment="1">
      <alignment horizontal="center" vertical="center"/>
    </xf>
    <xf numFmtId="164" fontId="0" fillId="0" borderId="0" xfId="0" applyNumberFormat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65" fontId="0" fillId="0" borderId="0" xfId="0" applyNumberFormat="1"/>
    <xf numFmtId="0" fontId="2" fillId="0" borderId="6" xfId="0" applyFont="1" applyBorder="1"/>
    <xf numFmtId="0" fontId="2" fillId="3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5" fontId="0" fillId="3" borderId="7" xfId="0" applyNumberFormat="1" applyFill="1" applyBorder="1" applyAlignment="1">
      <alignment horizontal="center" vertical="center"/>
    </xf>
    <xf numFmtId="165" fontId="0" fillId="3" borderId="0" xfId="0" applyNumberFormat="1" applyFill="1"/>
    <xf numFmtId="165" fontId="2" fillId="3" borderId="1" xfId="0" applyNumberFormat="1" applyFont="1" applyFill="1" applyBorder="1" applyAlignment="1">
      <alignment horizontal="center" vertical="center"/>
    </xf>
    <xf numFmtId="165" fontId="2" fillId="3" borderId="9" xfId="0" applyNumberFormat="1" applyFont="1" applyFill="1" applyBorder="1" applyAlignment="1">
      <alignment horizontal="center" vertical="center"/>
    </xf>
    <xf numFmtId="165" fontId="0" fillId="3" borderId="9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/>
    <xf numFmtId="165" fontId="0" fillId="4" borderId="0" xfId="0" applyNumberFormat="1" applyFill="1"/>
    <xf numFmtId="0" fontId="0" fillId="3" borderId="1" xfId="0" applyFill="1" applyBorder="1" applyAlignment="1">
      <alignment horizontal="left" vertical="center" wrapText="1"/>
    </xf>
    <xf numFmtId="0" fontId="0" fillId="3" borderId="7" xfId="0" applyFill="1" applyBorder="1" applyAlignment="1">
      <alignment horizontal="left" vertical="center" wrapText="1"/>
    </xf>
    <xf numFmtId="0" fontId="0" fillId="3" borderId="0" xfId="0" applyFill="1" applyAlignment="1">
      <alignment horizontal="left" wrapText="1"/>
    </xf>
    <xf numFmtId="0" fontId="0" fillId="4" borderId="0" xfId="0" applyFill="1" applyAlignment="1">
      <alignment horizontal="left" wrapText="1"/>
    </xf>
    <xf numFmtId="1" fontId="0" fillId="5" borderId="1" xfId="0" applyNumberFormat="1" applyFill="1" applyBorder="1" applyAlignment="1">
      <alignment horizontal="center"/>
    </xf>
    <xf numFmtId="1" fontId="0" fillId="5" borderId="0" xfId="0" applyNumberFormat="1" applyFill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0" xfId="0" applyFill="1"/>
    <xf numFmtId="165" fontId="0" fillId="5" borderId="1" xfId="0" applyNumberFormat="1" applyFill="1" applyBorder="1"/>
    <xf numFmtId="165" fontId="0" fillId="5" borderId="1" xfId="0" applyNumberFormat="1" applyFill="1" applyBorder="1" applyAlignment="1">
      <alignment horizontal="center"/>
    </xf>
    <xf numFmtId="165" fontId="0" fillId="5" borderId="0" xfId="0" applyNumberFormat="1" applyFill="1"/>
    <xf numFmtId="0" fontId="0" fillId="3" borderId="1" xfId="0" applyFill="1" applyBorder="1" applyAlignment="1">
      <alignment horizontal="center"/>
    </xf>
    <xf numFmtId="0" fontId="0" fillId="3" borderId="0" xfId="0" applyFill="1"/>
    <xf numFmtId="165" fontId="0" fillId="3" borderId="1" xfId="0" applyNumberFormat="1" applyFill="1" applyBorder="1" applyAlignment="1">
      <alignment horizontal="center"/>
    </xf>
    <xf numFmtId="0" fontId="0" fillId="0" borderId="10" xfId="0" applyBorder="1"/>
    <xf numFmtId="0" fontId="0" fillId="5" borderId="10" xfId="0" applyFill="1" applyBorder="1"/>
    <xf numFmtId="0" fontId="0" fillId="3" borderId="10" xfId="0" applyFill="1" applyBorder="1"/>
    <xf numFmtId="0" fontId="0" fillId="6" borderId="10" xfId="0" applyFill="1" applyBorder="1"/>
    <xf numFmtId="0" fontId="0" fillId="7" borderId="0" xfId="0" applyFill="1"/>
    <xf numFmtId="0" fontId="1" fillId="7" borderId="0" xfId="0" applyFont="1" applyFill="1" applyAlignment="1">
      <alignment horizontal="left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165" fontId="0" fillId="7" borderId="0" xfId="0" applyNumberFormat="1" applyFill="1" applyAlignment="1">
      <alignment horizontal="center" vertical="center"/>
    </xf>
    <xf numFmtId="165" fontId="0" fillId="7" borderId="0" xfId="0" applyNumberFormat="1" applyFill="1"/>
    <xf numFmtId="166" fontId="3" fillId="7" borderId="0" xfId="0" applyNumberFormat="1" applyFont="1" applyFill="1"/>
    <xf numFmtId="0" fontId="0" fillId="7" borderId="0" xfId="0" applyFill="1" applyAlignment="1">
      <alignment horizont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9" fontId="0" fillId="0" borderId="0" xfId="1" applyFont="1"/>
    <xf numFmtId="9" fontId="0" fillId="0" borderId="0" xfId="0" applyNumberForma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8" fillId="10" borderId="0" xfId="2" applyFill="1"/>
    <xf numFmtId="0" fontId="8" fillId="11" borderId="0" xfId="2" applyFill="1"/>
    <xf numFmtId="0" fontId="2" fillId="0" borderId="0" xfId="0" applyFont="1"/>
  </cellXfs>
  <cellStyles count="3">
    <cellStyle name="Hyperlink" xfId="2" builtinId="8"/>
    <cellStyle name="Normal" xfId="0" builtinId="0"/>
    <cellStyle name="Percent" xfId="1" builtinId="5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00FF"/>
      <color rgb="FF00FFFF"/>
      <color rgb="FF696969"/>
      <color rgb="FFCC00FF"/>
      <color rgb="FF9900CC"/>
      <color rgb="FF66FFFF"/>
      <color rgb="FF3333CC"/>
      <color rgb="FF686868"/>
      <color rgb="FF6A6A6A"/>
      <color rgb="FF6B6B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FF00FF"/>
            </a:solidFill>
            <a:ln>
              <a:solidFill>
                <a:srgbClr val="696969"/>
              </a:solidFill>
            </a:ln>
          </c:spPr>
          <c:dPt>
            <c:idx val="0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378-4194-948C-8B61787BA028}"/>
              </c:ext>
            </c:extLst>
          </c:dPt>
          <c:dPt>
            <c:idx val="1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78-4194-948C-8B61787BA028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378-4194-948C-8B61787BA028}"/>
              </c:ext>
            </c:extLst>
          </c:dPt>
          <c:dPt>
            <c:idx val="3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378-4194-948C-8B61787BA028}"/>
              </c:ext>
            </c:extLst>
          </c:dPt>
          <c:dPt>
            <c:idx val="4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378-4194-948C-8B61787BA028}"/>
              </c:ext>
            </c:extLst>
          </c:dPt>
          <c:dPt>
            <c:idx val="5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378-4194-948C-8B61787BA028}"/>
              </c:ext>
            </c:extLst>
          </c:dPt>
          <c:dPt>
            <c:idx val="6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378-4194-948C-8B61787BA028}"/>
              </c:ext>
            </c:extLst>
          </c:dPt>
          <c:dPt>
            <c:idx val="7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378-4194-948C-8B61787BA028}"/>
              </c:ext>
            </c:extLst>
          </c:dPt>
          <c:dPt>
            <c:idx val="8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378-4194-948C-8B61787BA028}"/>
              </c:ext>
            </c:extLst>
          </c:dPt>
          <c:dPt>
            <c:idx val="9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378-4194-948C-8B61787BA028}"/>
              </c:ext>
            </c:extLst>
          </c:dPt>
          <c:dPt>
            <c:idx val="10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378-4194-948C-8B61787BA028}"/>
              </c:ext>
            </c:extLst>
          </c:dPt>
          <c:dPt>
            <c:idx val="11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378-4194-948C-8B61787BA028}"/>
              </c:ext>
            </c:extLst>
          </c:dPt>
          <c:dPt>
            <c:idx val="12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378-4194-948C-8B61787BA028}"/>
              </c:ext>
            </c:extLst>
          </c:dPt>
          <c:dPt>
            <c:idx val="13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378-4194-948C-8B61787BA028}"/>
              </c:ext>
            </c:extLst>
          </c:dPt>
          <c:dPt>
            <c:idx val="14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378-4194-948C-8B61787BA028}"/>
              </c:ext>
            </c:extLst>
          </c:dPt>
          <c:dPt>
            <c:idx val="15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378-4194-948C-8B61787BA028}"/>
              </c:ext>
            </c:extLst>
          </c:dPt>
          <c:dPt>
            <c:idx val="16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378-4194-948C-8B61787BA028}"/>
              </c:ext>
            </c:extLst>
          </c:dPt>
          <c:dPt>
            <c:idx val="17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378-4194-948C-8B61787BA028}"/>
              </c:ext>
            </c:extLst>
          </c:dPt>
          <c:dPt>
            <c:idx val="18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378-4194-948C-8B61787BA028}"/>
              </c:ext>
            </c:extLst>
          </c:dPt>
          <c:dPt>
            <c:idx val="19"/>
            <c:bubble3D val="0"/>
            <c:spPr>
              <a:solidFill>
                <a:srgbClr val="FF00FF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378-4194-948C-8B61787BA028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A378-4194-948C-8B61787B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data!$Q$15</c:f>
              <c:strCache>
                <c:ptCount val="1"/>
                <c:pt idx="0">
                  <c:v>Machine Overall Health</c:v>
                </c:pt>
              </c:strCache>
            </c:strRef>
          </c:tx>
          <c:spPr>
            <a:solidFill>
              <a:srgbClr val="696969">
                <a:alpha val="0"/>
              </a:srgbClr>
            </a:solidFill>
            <a:ln>
              <a:solidFill>
                <a:srgbClr val="696969"/>
              </a:solidFill>
            </a:ln>
          </c:spPr>
          <c:dPt>
            <c:idx val="0"/>
            <c:bubble3D val="0"/>
            <c:spPr>
              <a:solidFill>
                <a:srgbClr val="696969">
                  <a:alpha val="0"/>
                </a:srgbClr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A378-4194-948C-8B61787BA028}"/>
              </c:ext>
            </c:extLst>
          </c:dPt>
          <c:dPt>
            <c:idx val="1"/>
            <c:bubble3D val="0"/>
            <c:spPr>
              <a:solidFill>
                <a:srgbClr val="696969"/>
              </a:solidFill>
              <a:ln w="19050">
                <a:solidFill>
                  <a:srgbClr val="69696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A378-4194-948C-8B61787BA028}"/>
              </c:ext>
            </c:extLst>
          </c:dPt>
          <c:val>
            <c:numRef>
              <c:f>data!$R$15:$S$15</c:f>
              <c:numCache>
                <c:formatCode>0%</c:formatCode>
                <c:ptCount val="2"/>
                <c:pt idx="0">
                  <c:v>0.9465899753492194</c:v>
                </c:pt>
                <c:pt idx="1">
                  <c:v>5.3410024650780596E-2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378-4194-948C-8B61787B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696969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192000</xdr:colOff>
      <xdr:row>17</xdr:row>
      <xdr:rowOff>131040</xdr:rowOff>
    </xdr:to>
    <xdr:graphicFrame macro="">
      <xdr:nvGraphicFramePr>
        <xdr:cNvPr id="4" name="Health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2</xdr:row>
          <xdr:rowOff>60960</xdr:rowOff>
        </xdr:from>
        <xdr:to>
          <xdr:col>5</xdr:col>
          <xdr:colOff>274320</xdr:colOff>
          <xdr:row>6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SG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Automated Maintenance System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30480</xdr:rowOff>
        </xdr:from>
        <xdr:to>
          <xdr:col>2</xdr:col>
          <xdr:colOff>716280</xdr:colOff>
          <xdr:row>1</xdr:row>
          <xdr:rowOff>213360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Findings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259080</xdr:rowOff>
        </xdr:from>
        <xdr:to>
          <xdr:col>2</xdr:col>
          <xdr:colOff>716280</xdr:colOff>
          <xdr:row>1</xdr:row>
          <xdr:rowOff>411480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1242060</xdr:colOff>
          <xdr:row>1</xdr:row>
          <xdr:rowOff>480060</xdr:rowOff>
        </xdr:from>
        <xdr:to>
          <xdr:col>2</xdr:col>
          <xdr:colOff>716280</xdr:colOff>
          <xdr:row>1</xdr:row>
          <xdr:rowOff>670560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Due within 10 days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24861</xdr:colOff>
      <xdr:row>1</xdr:row>
      <xdr:rowOff>1610</xdr:rowOff>
    </xdr:from>
    <xdr:to>
      <xdr:col>1</xdr:col>
      <xdr:colOff>1122338</xdr:colOff>
      <xdr:row>1</xdr:row>
      <xdr:rowOff>707424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61" y="228745"/>
          <a:ext cx="1583252" cy="70200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.delostrinos@outlook.com" TargetMode="External"/><Relationship Id="rId1" Type="http://schemas.openxmlformats.org/officeDocument/2006/relationships/hyperlink" Target="mailto:r.delostrinos@yahoo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88EFF-720F-4840-9626-628BECF2C06A}">
  <sheetPr codeName="Sheet2"/>
  <dimension ref="I1:M9"/>
  <sheetViews>
    <sheetView workbookViewId="0">
      <selection activeCell="J25" sqref="J25"/>
    </sheetView>
  </sheetViews>
  <sheetFormatPr defaultRowHeight="14.4" x14ac:dyDescent="0.3"/>
  <cols>
    <col min="11" max="11" width="21" bestFit="1" customWidth="1"/>
  </cols>
  <sheetData>
    <row r="1" spans="9:13" x14ac:dyDescent="0.3">
      <c r="I1" s="55"/>
      <c r="J1" s="55"/>
      <c r="K1" s="55"/>
      <c r="L1" s="55"/>
      <c r="M1" s="55"/>
    </row>
    <row r="2" spans="9:13" x14ac:dyDescent="0.3">
      <c r="I2" s="55"/>
      <c r="J2" s="55" t="s">
        <v>725</v>
      </c>
      <c r="K2" s="55"/>
      <c r="L2" s="55"/>
      <c r="M2" s="55"/>
    </row>
    <row r="3" spans="9:13" x14ac:dyDescent="0.3">
      <c r="I3" s="55"/>
      <c r="J3" s="55"/>
      <c r="K3" s="55" t="s">
        <v>728</v>
      </c>
      <c r="L3" s="52"/>
      <c r="M3" s="55"/>
    </row>
    <row r="4" spans="9:13" x14ac:dyDescent="0.3">
      <c r="I4" s="55"/>
      <c r="J4" s="55"/>
      <c r="K4" s="55" t="s">
        <v>726</v>
      </c>
      <c r="L4" s="51"/>
      <c r="M4" s="55"/>
    </row>
    <row r="5" spans="9:13" x14ac:dyDescent="0.3">
      <c r="I5" s="55"/>
      <c r="J5" s="55"/>
      <c r="K5" s="55" t="s">
        <v>727</v>
      </c>
      <c r="L5" s="53"/>
      <c r="M5" s="55"/>
    </row>
    <row r="6" spans="9:13" x14ac:dyDescent="0.3">
      <c r="I6" s="55"/>
      <c r="J6" s="55"/>
      <c r="K6" s="55" t="s">
        <v>729</v>
      </c>
      <c r="L6" s="54"/>
      <c r="M6" s="55"/>
    </row>
    <row r="7" spans="9:13" x14ac:dyDescent="0.3">
      <c r="I7" s="55"/>
      <c r="J7" s="55"/>
      <c r="K7" s="55"/>
      <c r="L7" s="55"/>
      <c r="M7" s="55"/>
    </row>
    <row r="8" spans="9:13" x14ac:dyDescent="0.3">
      <c r="I8" s="55"/>
      <c r="J8" s="55"/>
      <c r="K8" s="55"/>
      <c r="L8" s="55"/>
      <c r="M8" s="55"/>
    </row>
    <row r="9" spans="9:13" x14ac:dyDescent="0.3">
      <c r="L9" s="55"/>
      <c r="M9" s="5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0F93F-A742-4165-9C8B-D0F345E3828E}">
  <sheetPr codeName="Sheet1"/>
  <dimension ref="A1:AU48"/>
  <sheetViews>
    <sheetView workbookViewId="0">
      <selection activeCell="M23" sqref="M23"/>
    </sheetView>
  </sheetViews>
  <sheetFormatPr defaultRowHeight="14.4" x14ac:dyDescent="0.3"/>
  <cols>
    <col min="2" max="2" width="12.33203125" bestFit="1" customWidth="1"/>
    <col min="3" max="3" width="14.6640625" customWidth="1"/>
    <col min="6" max="6" width="12.33203125" bestFit="1" customWidth="1"/>
    <col min="7" max="7" width="18.33203125" bestFit="1" customWidth="1"/>
    <col min="10" max="10" width="8.88671875" customWidth="1"/>
    <col min="11" max="11" width="8.88671875" style="66"/>
    <col min="12" max="12" width="41.77734375" bestFit="1" customWidth="1"/>
    <col min="13" max="13" width="64" bestFit="1" customWidth="1"/>
    <col min="14" max="15" width="8.88671875" hidden="1" customWidth="1"/>
    <col min="16" max="16" width="6" hidden="1" customWidth="1"/>
    <col min="17" max="17" width="21.5546875" customWidth="1"/>
    <col min="18" max="18" width="11.88671875" customWidth="1"/>
    <col min="19" max="20" width="8.88671875" customWidth="1"/>
    <col min="21" max="21" width="17.109375" customWidth="1"/>
  </cols>
  <sheetData>
    <row r="1" spans="1:47" x14ac:dyDescent="0.3">
      <c r="K1"/>
    </row>
    <row r="2" spans="1:47" x14ac:dyDescent="0.3">
      <c r="K2"/>
      <c r="L2" s="74" t="s">
        <v>796</v>
      </c>
      <c r="M2" s="74" t="s">
        <v>796</v>
      </c>
    </row>
    <row r="3" spans="1:47" x14ac:dyDescent="0.3">
      <c r="G3" s="74" t="s">
        <v>732</v>
      </c>
      <c r="H3">
        <f ca="1">SUM(H5:H48)</f>
        <v>65</v>
      </c>
      <c r="I3">
        <f ca="1">SUM(I5:I48)</f>
        <v>1152</v>
      </c>
      <c r="J3">
        <f ca="1">SUM(J5:J48)</f>
        <v>12</v>
      </c>
      <c r="K3" s="66">
        <f ca="1">AVERAGE(K5:K48)</f>
        <v>0.95561951812026114</v>
      </c>
      <c r="L3" s="74" t="s">
        <v>797</v>
      </c>
      <c r="M3" s="74" t="s">
        <v>798</v>
      </c>
    </row>
    <row r="4" spans="1:47" x14ac:dyDescent="0.3">
      <c r="A4" s="74" t="s">
        <v>724</v>
      </c>
      <c r="B4" s="74" t="s">
        <v>1</v>
      </c>
      <c r="D4" s="74" t="s">
        <v>44</v>
      </c>
      <c r="E4" s="74" t="s">
        <v>739</v>
      </c>
      <c r="F4" s="9">
        <f ca="1">NOW()</f>
        <v>45104.884367939812</v>
      </c>
      <c r="G4" t="s">
        <v>0</v>
      </c>
      <c r="H4" s="74" t="s">
        <v>733</v>
      </c>
      <c r="I4" s="74" t="s">
        <v>734</v>
      </c>
      <c r="J4" s="74" t="s">
        <v>724</v>
      </c>
      <c r="K4" s="74" t="s">
        <v>731</v>
      </c>
      <c r="L4" s="70" t="s">
        <v>799</v>
      </c>
      <c r="M4" s="73" t="s">
        <v>802</v>
      </c>
    </row>
    <row r="5" spans="1:47" x14ac:dyDescent="0.3">
      <c r="A5">
        <v>1</v>
      </c>
      <c r="B5" t="s">
        <v>79</v>
      </c>
      <c r="C5" t="s">
        <v>763</v>
      </c>
      <c r="D5" t="s">
        <v>762</v>
      </c>
      <c r="E5" t="s">
        <v>741</v>
      </c>
      <c r="G5" t="s">
        <v>699</v>
      </c>
      <c r="H5">
        <f ca="1">COUNTIFS(Allitems!B:B,data!G5, Allitems!C:C, 1 )</f>
        <v>5</v>
      </c>
      <c r="I5">
        <f ca="1">COUNTIFS(Allitems!B:B,data!G5, Allitems!C:C, 0 )</f>
        <v>22</v>
      </c>
      <c r="J5">
        <f ca="1">COUNTIFS(Allitems!B:B,data!G5, Allitems!C:C, 1,Allitems!S:S,1)</f>
        <v>0</v>
      </c>
      <c r="K5" s="66">
        <f ca="1">(I5)/(H5+I5)</f>
        <v>0.81481481481481477</v>
      </c>
      <c r="L5" s="72" t="s">
        <v>800</v>
      </c>
      <c r="M5" s="71" t="s">
        <v>804</v>
      </c>
    </row>
    <row r="6" spans="1:47" x14ac:dyDescent="0.3">
      <c r="B6" t="s">
        <v>78</v>
      </c>
      <c r="C6" t="s">
        <v>764</v>
      </c>
      <c r="D6" t="s">
        <v>58</v>
      </c>
      <c r="E6" t="s">
        <v>742</v>
      </c>
      <c r="G6" t="s">
        <v>700</v>
      </c>
      <c r="H6">
        <f ca="1">COUNTIFS(Allitems!B:B,data!G6, Allitems!C:C, 1 )</f>
        <v>4</v>
      </c>
      <c r="I6">
        <f ca="1">COUNTIFS(Allitems!B:B,data!G6, Allitems!C:C, 0 )</f>
        <v>40</v>
      </c>
      <c r="J6">
        <f ca="1">COUNTIFS(Allitems!B:B,data!G6, Allitems!C:C, 1,Allitems!S:S,1)</f>
        <v>1</v>
      </c>
      <c r="K6" s="66">
        <f t="shared" ref="K6:K48" ca="1" si="0">(I6)/(H6+I6)</f>
        <v>0.90909090909090906</v>
      </c>
      <c r="L6" s="70" t="s">
        <v>801</v>
      </c>
      <c r="M6" s="71" t="s">
        <v>803</v>
      </c>
    </row>
    <row r="7" spans="1:47" x14ac:dyDescent="0.3">
      <c r="C7" t="s">
        <v>765</v>
      </c>
      <c r="D7" t="s">
        <v>45</v>
      </c>
      <c r="E7" t="s">
        <v>743</v>
      </c>
      <c r="G7" t="s">
        <v>701</v>
      </c>
      <c r="H7">
        <f ca="1">COUNTIFS(Allitems!B:B,data!G7, Allitems!C:C, 1 )</f>
        <v>6</v>
      </c>
      <c r="I7">
        <f ca="1">COUNTIFS(Allitems!B:B,data!G7, Allitems!C:C, 0 )</f>
        <v>59</v>
      </c>
      <c r="J7">
        <f ca="1">COUNTIFS(Allitems!B:B,data!G7, Allitems!C:C, 1,Allitems!S:S,1)</f>
        <v>1</v>
      </c>
      <c r="K7" s="66">
        <f t="shared" ca="1" si="0"/>
        <v>0.90769230769230769</v>
      </c>
      <c r="L7" s="70"/>
      <c r="M7" s="71" t="s">
        <v>805</v>
      </c>
    </row>
    <row r="8" spans="1:47" x14ac:dyDescent="0.3">
      <c r="C8" t="s">
        <v>766</v>
      </c>
      <c r="D8" t="s">
        <v>46</v>
      </c>
      <c r="E8" t="s">
        <v>744</v>
      </c>
      <c r="G8" t="s">
        <v>702</v>
      </c>
      <c r="H8">
        <f ca="1">COUNTIFS(Allitems!B:B,data!G8, Allitems!C:C, 1 )</f>
        <v>4</v>
      </c>
      <c r="I8">
        <f ca="1">COUNTIFS(Allitems!B:B,data!G8, Allitems!C:C, 0 )</f>
        <v>24</v>
      </c>
      <c r="J8">
        <f ca="1">COUNTIFS(Allitems!B:B,data!G8, Allitems!C:C, 1,Allitems!S:S,1)</f>
        <v>0</v>
      </c>
      <c r="K8" s="66">
        <f t="shared" ca="1" si="0"/>
        <v>0.8571428571428571</v>
      </c>
      <c r="L8" s="70"/>
      <c r="M8" s="71" t="s">
        <v>806</v>
      </c>
    </row>
    <row r="9" spans="1:47" x14ac:dyDescent="0.3">
      <c r="C9" t="s">
        <v>767</v>
      </c>
      <c r="D9" t="s">
        <v>59</v>
      </c>
      <c r="E9" t="s">
        <v>745</v>
      </c>
      <c r="G9" t="s">
        <v>703</v>
      </c>
      <c r="H9">
        <f ca="1">COUNTIFS(Allitems!B:B,data!G9, Allitems!C:C, 1 )</f>
        <v>3</v>
      </c>
      <c r="I9">
        <f ca="1">COUNTIFS(Allitems!B:B,data!G9, Allitems!C:C, 0 )</f>
        <v>46</v>
      </c>
      <c r="J9">
        <f ca="1">COUNTIFS(Allitems!B:B,data!G9, Allitems!C:C, 1,Allitems!S:S,1)</f>
        <v>1</v>
      </c>
      <c r="K9" s="66">
        <f t="shared" ca="1" si="0"/>
        <v>0.93877551020408168</v>
      </c>
      <c r="L9" s="70"/>
      <c r="M9" s="71" t="s">
        <v>811</v>
      </c>
    </row>
    <row r="10" spans="1:47" x14ac:dyDescent="0.3">
      <c r="C10" t="s">
        <v>768</v>
      </c>
      <c r="D10" t="s">
        <v>60</v>
      </c>
      <c r="E10" t="s">
        <v>746</v>
      </c>
      <c r="G10" t="s">
        <v>704</v>
      </c>
      <c r="H10">
        <f ca="1">COUNTIFS(Allitems!B:B,data!G10, Allitems!C:C, 1 )</f>
        <v>6</v>
      </c>
      <c r="I10">
        <f ca="1">COUNTIFS(Allitems!B:B,data!G10, Allitems!C:C, 0 )</f>
        <v>68</v>
      </c>
      <c r="J10">
        <f ca="1">COUNTIFS(Allitems!B:B,data!G10, Allitems!C:C, 1,Allitems!S:S,1)</f>
        <v>1</v>
      </c>
      <c r="K10" s="66">
        <f t="shared" ca="1" si="0"/>
        <v>0.91891891891891897</v>
      </c>
      <c r="L10" s="70"/>
      <c r="M10" s="71"/>
    </row>
    <row r="11" spans="1:47" x14ac:dyDescent="0.3">
      <c r="C11" t="s">
        <v>769</v>
      </c>
      <c r="D11" t="s">
        <v>47</v>
      </c>
      <c r="E11" t="s">
        <v>747</v>
      </c>
      <c r="G11" t="s">
        <v>705</v>
      </c>
      <c r="H11">
        <f ca="1">COUNTIFS(Allitems!B:B,data!G11, Allitems!C:C, 1 )</f>
        <v>2</v>
      </c>
      <c r="I11">
        <f ca="1">COUNTIFS(Allitems!B:B,data!G11, Allitems!C:C, 0 )</f>
        <v>25</v>
      </c>
      <c r="J11">
        <f ca="1">COUNTIFS(Allitems!B:B,data!G11, Allitems!C:C, 1,Allitems!S:S,1)</f>
        <v>0</v>
      </c>
      <c r="K11" s="66">
        <f t="shared" ca="1" si="0"/>
        <v>0.92592592592592593</v>
      </c>
      <c r="L11" s="70"/>
      <c r="M11" s="71"/>
      <c r="AE11" s="4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C12" t="s">
        <v>770</v>
      </c>
      <c r="D12" t="s">
        <v>48</v>
      </c>
      <c r="E12" t="s">
        <v>748</v>
      </c>
      <c r="G12" t="s">
        <v>706</v>
      </c>
      <c r="H12">
        <f ca="1">COUNTIFS(Allitems!B:B,data!G12, Allitems!C:C, 1 )</f>
        <v>6</v>
      </c>
      <c r="I12">
        <f ca="1">COUNTIFS(Allitems!B:B,data!G12, Allitems!C:C, 0 )</f>
        <v>86</v>
      </c>
      <c r="J12">
        <f ca="1">COUNTIFS(Allitems!B:B,data!G12, Allitems!C:C, 1,Allitems!S:S,1)</f>
        <v>0</v>
      </c>
      <c r="K12" s="66">
        <f t="shared" ca="1" si="0"/>
        <v>0.93478260869565222</v>
      </c>
      <c r="L12" s="70"/>
      <c r="M12" s="71"/>
    </row>
    <row r="13" spans="1:47" x14ac:dyDescent="0.3">
      <c r="C13" t="s">
        <v>771</v>
      </c>
      <c r="D13" t="s">
        <v>49</v>
      </c>
      <c r="E13" t="s">
        <v>749</v>
      </c>
      <c r="G13" t="s">
        <v>707</v>
      </c>
      <c r="H13">
        <f ca="1">COUNTIFS(Allitems!B:B,data!G13, Allitems!C:C, 1 )</f>
        <v>5</v>
      </c>
      <c r="I13">
        <f ca="1">COUNTIFS(Allitems!B:B,data!G13, Allitems!C:C, 0 )</f>
        <v>52</v>
      </c>
      <c r="J13">
        <f ca="1">COUNTIFS(Allitems!B:B,data!G13, Allitems!C:C, 1,Allitems!S:S,1)</f>
        <v>1</v>
      </c>
      <c r="K13" s="66">
        <f t="shared" ca="1" si="0"/>
        <v>0.91228070175438591</v>
      </c>
      <c r="Q13" s="74" t="s">
        <v>810</v>
      </c>
    </row>
    <row r="14" spans="1:47" x14ac:dyDescent="0.3">
      <c r="C14" t="s">
        <v>772</v>
      </c>
      <c r="D14" t="s">
        <v>50</v>
      </c>
      <c r="E14" t="s">
        <v>750</v>
      </c>
      <c r="G14" t="s">
        <v>708</v>
      </c>
      <c r="H14">
        <f ca="1">COUNTIFS(Allitems!B:B,data!G14, Allitems!C:C, 1 )</f>
        <v>1</v>
      </c>
      <c r="I14">
        <f ca="1">COUNTIFS(Allitems!B:B,data!G14, Allitems!C:C, 0 )</f>
        <v>20</v>
      </c>
      <c r="J14">
        <f ca="1">COUNTIFS(Allitems!B:B,data!G14, Allitems!C:C, 1,Allitems!S:S,1)</f>
        <v>0</v>
      </c>
      <c r="K14" s="66">
        <f t="shared" ca="1" si="0"/>
        <v>0.95238095238095233</v>
      </c>
      <c r="Q14" t="s">
        <v>735</v>
      </c>
      <c r="R14" t="s">
        <v>737</v>
      </c>
    </row>
    <row r="15" spans="1:47" x14ac:dyDescent="0.3">
      <c r="C15" t="s">
        <v>773</v>
      </c>
      <c r="D15" t="s">
        <v>61</v>
      </c>
      <c r="E15" t="s">
        <v>751</v>
      </c>
      <c r="G15" t="s">
        <v>709</v>
      </c>
      <c r="H15">
        <f ca="1">COUNTIFS(Allitems!B:B,data!G15, Allitems!C:C, 1 )</f>
        <v>4</v>
      </c>
      <c r="I15">
        <f ca="1">COUNTIFS(Allitems!B:B,data!G15, Allitems!C:C, 0 )</f>
        <v>42</v>
      </c>
      <c r="J15">
        <f ca="1">COUNTIFS(Allitems!B:B,data!G15, Allitems!C:C, 1,Allitems!S:S,1)</f>
        <v>1</v>
      </c>
      <c r="K15" s="66">
        <f t="shared" ca="1" si="0"/>
        <v>0.91304347826086951</v>
      </c>
      <c r="Q15" t="s">
        <v>736</v>
      </c>
      <c r="R15" s="66">
        <f ca="1">I3/(I3+H3)</f>
        <v>0.9465899753492194</v>
      </c>
      <c r="S15" s="67">
        <f ca="1">1-R15</f>
        <v>5.3410024650780596E-2</v>
      </c>
    </row>
    <row r="16" spans="1:47" x14ac:dyDescent="0.3">
      <c r="C16" t="s">
        <v>774</v>
      </c>
      <c r="D16" t="s">
        <v>51</v>
      </c>
      <c r="E16" t="s">
        <v>752</v>
      </c>
      <c r="G16" t="s">
        <v>710</v>
      </c>
      <c r="H16">
        <f ca="1">COUNTIFS(Allitems!B:B,data!G16, Allitems!C:C, 1 )</f>
        <v>7</v>
      </c>
      <c r="I16">
        <f ca="1">COUNTIFS(Allitems!B:B,data!G16, Allitems!C:C, 0 )</f>
        <v>125</v>
      </c>
      <c r="J16">
        <f ca="1">COUNTIFS(Allitems!B:B,data!G16, Allitems!C:C, 1,Allitems!S:S,1)</f>
        <v>4</v>
      </c>
      <c r="K16" s="66">
        <f t="shared" ca="1" si="0"/>
        <v>0.94696969696969702</v>
      </c>
      <c r="Q16" s="74" t="s">
        <v>809</v>
      </c>
    </row>
    <row r="17" spans="3:17" x14ac:dyDescent="0.3">
      <c r="C17" t="s">
        <v>775</v>
      </c>
      <c r="D17" t="s">
        <v>52</v>
      </c>
      <c r="E17" t="s">
        <v>753</v>
      </c>
      <c r="G17" t="s">
        <v>84</v>
      </c>
      <c r="H17">
        <f ca="1">COUNTIFS(Allitems!B:B,data!G17, Allitems!C:C, 1 )</f>
        <v>0</v>
      </c>
      <c r="I17">
        <f ca="1">COUNTIFS(Allitems!B:B,data!G17, Allitems!C:C, 0 )</f>
        <v>173</v>
      </c>
      <c r="J17">
        <f ca="1">COUNTIFS(Allitems!B:B,data!G17, Allitems!C:C, 1,Allitems!S:S,1)</f>
        <v>0</v>
      </c>
      <c r="K17" s="66">
        <f t="shared" ca="1" si="0"/>
        <v>1</v>
      </c>
      <c r="Q17" s="68" t="s">
        <v>793</v>
      </c>
    </row>
    <row r="18" spans="3:17" x14ac:dyDescent="0.3">
      <c r="C18" t="s">
        <v>776</v>
      </c>
      <c r="D18" t="s">
        <v>53</v>
      </c>
      <c r="E18" t="s">
        <v>754</v>
      </c>
      <c r="G18" t="s">
        <v>686</v>
      </c>
      <c r="H18">
        <f ca="1">COUNTIFS(Allitems!B:B,data!G18, Allitems!C:C, 1 )</f>
        <v>2</v>
      </c>
      <c r="I18">
        <f ca="1">COUNTIFS(Allitems!B:B,data!G18, Allitems!C:C, 0 )</f>
        <v>12</v>
      </c>
      <c r="J18">
        <f ca="1">COUNTIFS(Allitems!B:B,data!G18, Allitems!C:C, 1,Allitems!S:S,1)</f>
        <v>1</v>
      </c>
      <c r="K18" s="66">
        <f t="shared" ca="1" si="0"/>
        <v>0.8571428571428571</v>
      </c>
      <c r="Q18" s="69" t="s">
        <v>794</v>
      </c>
    </row>
    <row r="19" spans="3:17" x14ac:dyDescent="0.3">
      <c r="C19" t="s">
        <v>777</v>
      </c>
      <c r="D19" t="s">
        <v>62</v>
      </c>
      <c r="E19" t="s">
        <v>755</v>
      </c>
      <c r="G19" t="s">
        <v>687</v>
      </c>
      <c r="H19">
        <f ca="1">COUNTIFS(Allitems!B:B,data!G19, Allitems!C:C, 1 )</f>
        <v>0</v>
      </c>
      <c r="I19">
        <f ca="1">COUNTIFS(Allitems!B:B,data!G19, Allitems!C:C, 0 )</f>
        <v>14</v>
      </c>
      <c r="J19">
        <f ca="1">COUNTIFS(Allitems!B:B,data!G19, Allitems!C:C, 1,Allitems!S:S,1)</f>
        <v>0</v>
      </c>
      <c r="K19" s="66">
        <f t="shared" ca="1" si="0"/>
        <v>1</v>
      </c>
    </row>
    <row r="20" spans="3:17" x14ac:dyDescent="0.3">
      <c r="C20" t="s">
        <v>778</v>
      </c>
      <c r="D20" t="s">
        <v>63</v>
      </c>
      <c r="E20" t="s">
        <v>756</v>
      </c>
      <c r="G20" t="s">
        <v>714</v>
      </c>
      <c r="H20">
        <f ca="1">COUNTIFS(Allitems!B:B,data!G20, Allitems!C:C, 1 )</f>
        <v>0</v>
      </c>
      <c r="I20">
        <f ca="1">COUNTIFS(Allitems!B:B,data!G20, Allitems!C:C, 0 )</f>
        <v>172</v>
      </c>
      <c r="J20">
        <f ca="1">COUNTIFS(Allitems!B:B,data!G20, Allitems!C:C, 1,Allitems!S:S,1)</f>
        <v>0</v>
      </c>
      <c r="K20" s="66">
        <f t="shared" ca="1" si="0"/>
        <v>1</v>
      </c>
    </row>
    <row r="21" spans="3:17" x14ac:dyDescent="0.3">
      <c r="C21" t="s">
        <v>779</v>
      </c>
      <c r="D21" t="s">
        <v>54</v>
      </c>
      <c r="E21" t="s">
        <v>757</v>
      </c>
      <c r="G21" t="s">
        <v>688</v>
      </c>
      <c r="H21">
        <f ca="1">COUNTIFS(Allitems!B:B,data!G21, Allitems!C:C, 1 )</f>
        <v>0</v>
      </c>
      <c r="I21">
        <f ca="1">COUNTIFS(Allitems!B:B,data!G21, Allitems!C:C, 0 )</f>
        <v>14</v>
      </c>
      <c r="J21">
        <f ca="1">COUNTIFS(Allitems!B:B,data!G21, Allitems!C:C, 1,Allitems!S:S,1)</f>
        <v>0</v>
      </c>
      <c r="K21" s="66">
        <f t="shared" ca="1" si="0"/>
        <v>1</v>
      </c>
    </row>
    <row r="22" spans="3:17" x14ac:dyDescent="0.3">
      <c r="C22" t="s">
        <v>780</v>
      </c>
      <c r="D22" t="s">
        <v>55</v>
      </c>
      <c r="E22" t="s">
        <v>758</v>
      </c>
      <c r="G22" t="s">
        <v>691</v>
      </c>
      <c r="H22">
        <f ca="1">COUNTIFS(Allitems!B:B,data!G22, Allitems!C:C, 1 )</f>
        <v>0</v>
      </c>
      <c r="I22">
        <f ca="1">COUNTIFS(Allitems!B:B,data!G22, Allitems!C:C, 0 )</f>
        <v>14</v>
      </c>
      <c r="J22">
        <f ca="1">COUNTIFS(Allitems!B:B,data!G22, Allitems!C:C, 1,Allitems!S:S,1)</f>
        <v>0</v>
      </c>
      <c r="K22" s="66">
        <f t="shared" ca="1" si="0"/>
        <v>1</v>
      </c>
    </row>
    <row r="23" spans="3:17" x14ac:dyDescent="0.3">
      <c r="C23" t="s">
        <v>781</v>
      </c>
      <c r="D23" t="s">
        <v>56</v>
      </c>
      <c r="E23" t="s">
        <v>759</v>
      </c>
      <c r="G23" t="s">
        <v>259</v>
      </c>
      <c r="H23">
        <f ca="1">COUNTIFS(Allitems!B:B,data!G23, Allitems!C:C, 1 )</f>
        <v>0</v>
      </c>
      <c r="I23">
        <f ca="1">COUNTIFS(Allitems!B:B,data!G23, Allitems!C:C, 0 )</f>
        <v>22</v>
      </c>
      <c r="J23">
        <f ca="1">COUNTIFS(Allitems!B:B,data!G23, Allitems!C:C, 1,Allitems!S:S,1)</f>
        <v>0</v>
      </c>
      <c r="K23" s="66">
        <f t="shared" ca="1" si="0"/>
        <v>1</v>
      </c>
    </row>
    <row r="24" spans="3:17" x14ac:dyDescent="0.3">
      <c r="C24" t="s">
        <v>782</v>
      </c>
      <c r="D24" t="s">
        <v>57</v>
      </c>
      <c r="E24" t="s">
        <v>760</v>
      </c>
      <c r="G24" t="s">
        <v>692</v>
      </c>
      <c r="H24">
        <f ca="1">COUNTIFS(Allitems!B:B,data!G24, Allitems!C:C, 1 )</f>
        <v>3</v>
      </c>
      <c r="I24">
        <f ca="1">COUNTIFS(Allitems!B:B,data!G24, Allitems!C:C, 0 )</f>
        <v>11</v>
      </c>
      <c r="J24">
        <f ca="1">COUNTIFS(Allitems!B:B,data!G24, Allitems!C:C, 1,Allitems!S:S,1)</f>
        <v>0</v>
      </c>
      <c r="K24" s="66">
        <f t="shared" ca="1" si="0"/>
        <v>0.7857142857142857</v>
      </c>
    </row>
    <row r="25" spans="3:17" x14ac:dyDescent="0.3">
      <c r="C25" t="s">
        <v>783</v>
      </c>
      <c r="D25" t="s">
        <v>65</v>
      </c>
      <c r="E25" t="s">
        <v>740</v>
      </c>
      <c r="G25" t="s">
        <v>693</v>
      </c>
      <c r="H25">
        <f ca="1">COUNTIFS(Allitems!B:B,data!G25, Allitems!C:C, 1 )</f>
        <v>0</v>
      </c>
      <c r="I25">
        <f ca="1">COUNTIFS(Allitems!B:B,data!G25, Allitems!C:C, 0 )</f>
        <v>14</v>
      </c>
      <c r="J25">
        <f ca="1">COUNTIFS(Allitems!B:B,data!G25, Allitems!C:C, 1,Allitems!S:S,1)</f>
        <v>0</v>
      </c>
      <c r="K25" s="66">
        <f t="shared" ca="1" si="0"/>
        <v>1</v>
      </c>
    </row>
    <row r="26" spans="3:17" x14ac:dyDescent="0.3">
      <c r="C26" t="s">
        <v>784</v>
      </c>
      <c r="D26" t="s">
        <v>66</v>
      </c>
      <c r="E26" t="s">
        <v>740</v>
      </c>
      <c r="G26" t="s">
        <v>690</v>
      </c>
      <c r="H26">
        <f ca="1">COUNTIFS(Allitems!B:B,data!G26, Allitems!C:C, 1 )</f>
        <v>0</v>
      </c>
      <c r="I26">
        <f ca="1">COUNTIFS(Allitems!B:B,data!G26, Allitems!C:C, 0 )</f>
        <v>14</v>
      </c>
      <c r="J26">
        <f ca="1">COUNTIFS(Allitems!B:B,data!G26, Allitems!C:C, 1,Allitems!S:S,1)</f>
        <v>0</v>
      </c>
      <c r="K26" s="66">
        <f t="shared" ca="1" si="0"/>
        <v>1</v>
      </c>
    </row>
    <row r="27" spans="3:17" x14ac:dyDescent="0.3">
      <c r="C27" t="s">
        <v>785</v>
      </c>
      <c r="D27" t="s">
        <v>67</v>
      </c>
      <c r="E27" t="s">
        <v>740</v>
      </c>
      <c r="G27" t="s">
        <v>683</v>
      </c>
      <c r="H27">
        <f ca="1">COUNTIFS(Allitems!B:B,data!G27, Allitems!C:C, 1 )</f>
        <v>0</v>
      </c>
      <c r="I27">
        <f ca="1">COUNTIFS(Allitems!B:B,data!G27, Allitems!C:C, 0 )</f>
        <v>1</v>
      </c>
      <c r="J27">
        <f ca="1">COUNTIFS(Allitems!B:B,data!G27, Allitems!C:C, 1,Allitems!S:S,1)</f>
        <v>0</v>
      </c>
      <c r="K27" s="66">
        <f t="shared" ca="1" si="0"/>
        <v>1</v>
      </c>
    </row>
    <row r="28" spans="3:17" x14ac:dyDescent="0.3">
      <c r="C28" t="s">
        <v>786</v>
      </c>
      <c r="D28" t="s">
        <v>69</v>
      </c>
      <c r="E28" t="s">
        <v>740</v>
      </c>
      <c r="G28" t="s">
        <v>689</v>
      </c>
      <c r="H28">
        <f ca="1">COUNTIFS(Allitems!B:B,data!G28, Allitems!C:C, 1 )</f>
        <v>0</v>
      </c>
      <c r="I28">
        <f ca="1">COUNTIFS(Allitems!B:B,data!G28, Allitems!C:C, 0 )</f>
        <v>14</v>
      </c>
      <c r="J28">
        <f ca="1">COUNTIFS(Allitems!B:B,data!G28, Allitems!C:C, 1,Allitems!S:S,1)</f>
        <v>0</v>
      </c>
      <c r="K28" s="66">
        <f t="shared" ca="1" si="0"/>
        <v>1</v>
      </c>
    </row>
    <row r="29" spans="3:17" x14ac:dyDescent="0.3">
      <c r="C29" t="s">
        <v>787</v>
      </c>
      <c r="D29" t="s">
        <v>68</v>
      </c>
      <c r="E29" t="s">
        <v>740</v>
      </c>
      <c r="G29" t="s">
        <v>251</v>
      </c>
      <c r="H29">
        <f ca="1">COUNTIFS(Allitems!B:B,data!G29, Allitems!C:C, 1 )</f>
        <v>2</v>
      </c>
      <c r="I29">
        <f ca="1">COUNTIFS(Allitems!B:B,data!G29, Allitems!C:C, 0 )</f>
        <v>7</v>
      </c>
      <c r="J29">
        <f ca="1">COUNTIFS(Allitems!B:B,data!G29, Allitems!C:C, 1,Allitems!S:S,1)</f>
        <v>0</v>
      </c>
      <c r="K29" s="66">
        <f t="shared" ca="1" si="0"/>
        <v>0.77777777777777779</v>
      </c>
    </row>
    <row r="30" spans="3:17" x14ac:dyDescent="0.3">
      <c r="C30" t="s">
        <v>788</v>
      </c>
      <c r="D30" t="s">
        <v>70</v>
      </c>
      <c r="E30" t="s">
        <v>740</v>
      </c>
      <c r="G30" t="s">
        <v>224</v>
      </c>
      <c r="H30">
        <f ca="1">COUNTIFS(Allitems!B:B,data!G30, Allitems!C:C, 1 )</f>
        <v>2</v>
      </c>
      <c r="I30">
        <f ca="1">COUNTIFS(Allitems!B:B,data!G30, Allitems!C:C, 0 )</f>
        <v>20</v>
      </c>
      <c r="J30">
        <f ca="1">COUNTIFS(Allitems!B:B,data!G30, Allitems!C:C, 1,Allitems!S:S,1)</f>
        <v>0</v>
      </c>
      <c r="K30" s="66">
        <f t="shared" ca="1" si="0"/>
        <v>0.90909090909090906</v>
      </c>
    </row>
    <row r="31" spans="3:17" x14ac:dyDescent="0.3">
      <c r="C31" t="s">
        <v>789</v>
      </c>
      <c r="D31" t="s">
        <v>71</v>
      </c>
      <c r="E31" t="s">
        <v>740</v>
      </c>
      <c r="G31" t="s">
        <v>694</v>
      </c>
      <c r="H31">
        <f ca="1">COUNTIFS(Allitems!B:B,data!G31, Allitems!C:C, 1 )</f>
        <v>0</v>
      </c>
      <c r="I31">
        <f ca="1">COUNTIFS(Allitems!B:B,data!G31, Allitems!C:C, 0 )</f>
        <v>14</v>
      </c>
      <c r="J31">
        <f ca="1">COUNTIFS(Allitems!B:B,data!G31, Allitems!C:C, 1,Allitems!S:S,1)</f>
        <v>0</v>
      </c>
      <c r="K31" s="66">
        <f t="shared" ca="1" si="0"/>
        <v>1</v>
      </c>
    </row>
    <row r="32" spans="3:17" x14ac:dyDescent="0.3">
      <c r="C32" t="s">
        <v>792</v>
      </c>
      <c r="D32" t="s">
        <v>72</v>
      </c>
      <c r="E32" t="s">
        <v>761</v>
      </c>
      <c r="G32" t="s">
        <v>695</v>
      </c>
      <c r="H32">
        <f ca="1">COUNTIFS(Allitems!B:B,data!G32, Allitems!C:C, 1 )</f>
        <v>3</v>
      </c>
      <c r="I32">
        <f ca="1">COUNTIFS(Allitems!B:B,data!G32, Allitems!C:C, 0 )</f>
        <v>11</v>
      </c>
      <c r="J32">
        <f ca="1">COUNTIFS(Allitems!B:B,data!G32, Allitems!C:C, 1,Allitems!S:S,1)</f>
        <v>1</v>
      </c>
      <c r="K32" s="66">
        <f t="shared" ca="1" si="0"/>
        <v>0.7857142857142857</v>
      </c>
    </row>
    <row r="33" spans="3:11" x14ac:dyDescent="0.3">
      <c r="C33" t="s">
        <v>790</v>
      </c>
      <c r="D33" t="s">
        <v>73</v>
      </c>
      <c r="E33" t="s">
        <v>740</v>
      </c>
      <c r="G33" t="s">
        <v>684</v>
      </c>
      <c r="H33">
        <f ca="1">COUNTIFS(Allitems!B:B,data!G33, Allitems!C:C, 1 )</f>
        <v>0</v>
      </c>
      <c r="I33">
        <f ca="1">COUNTIFS(Allitems!B:B,data!G33, Allitems!C:C, 0 )</f>
        <v>1</v>
      </c>
      <c r="J33">
        <f ca="1">COUNTIFS(Allitems!B:B,data!G33, Allitems!C:C, 1,Allitems!S:S,1)</f>
        <v>0</v>
      </c>
      <c r="K33" s="66">
        <f t="shared" ca="1" si="0"/>
        <v>1</v>
      </c>
    </row>
    <row r="34" spans="3:11" x14ac:dyDescent="0.3">
      <c r="C34" t="s">
        <v>791</v>
      </c>
      <c r="D34" t="s">
        <v>74</v>
      </c>
      <c r="E34" t="s">
        <v>740</v>
      </c>
      <c r="G34" t="s">
        <v>685</v>
      </c>
      <c r="H34">
        <f ca="1">COUNTIFS(Allitems!B:B,data!G34, Allitems!C:C, 1 )</f>
        <v>0</v>
      </c>
      <c r="I34">
        <f ca="1">COUNTIFS(Allitems!B:B,data!G34, Allitems!C:C, 0 )</f>
        <v>1</v>
      </c>
      <c r="J34">
        <f ca="1">COUNTIFS(Allitems!B:B,data!G34, Allitems!C:C, 1,Allitems!S:S,1)</f>
        <v>0</v>
      </c>
      <c r="K34" s="66">
        <f t="shared" ca="1" si="0"/>
        <v>1</v>
      </c>
    </row>
    <row r="35" spans="3:11" x14ac:dyDescent="0.3">
      <c r="G35" t="s">
        <v>696</v>
      </c>
      <c r="H35">
        <f ca="1">COUNTIFS(Allitems!B:B,data!G35, Allitems!C:C, 1 )</f>
        <v>0</v>
      </c>
      <c r="I35">
        <f ca="1">COUNTIFS(Allitems!B:B,data!G35, Allitems!C:C, 0 )</f>
        <v>1</v>
      </c>
      <c r="J35">
        <f ca="1">COUNTIFS(Allitems!B:B,data!G35, Allitems!C:C, 1,Allitems!S:S,1)</f>
        <v>0</v>
      </c>
      <c r="K35" s="66">
        <f t="shared" ca="1" si="0"/>
        <v>1</v>
      </c>
    </row>
    <row r="36" spans="3:11" x14ac:dyDescent="0.3">
      <c r="G36" t="s">
        <v>711</v>
      </c>
      <c r="H36">
        <f ca="1">COUNTIFS(Allitems!B:B,data!G36, Allitems!C:C, 1 )</f>
        <v>0</v>
      </c>
      <c r="I36">
        <f ca="1">COUNTIFS(Allitems!B:B,data!G36, Allitems!C:C, 0 )</f>
        <v>1</v>
      </c>
      <c r="J36">
        <f ca="1">COUNTIFS(Allitems!B:B,data!G36, Allitems!C:C, 1,Allitems!S:S,1)</f>
        <v>0</v>
      </c>
      <c r="K36" s="66">
        <f t="shared" ca="1" si="0"/>
        <v>1</v>
      </c>
    </row>
    <row r="37" spans="3:11" x14ac:dyDescent="0.3">
      <c r="G37" t="s">
        <v>712</v>
      </c>
      <c r="H37">
        <f ca="1">COUNTIFS(Allitems!B:B,data!G37, Allitems!C:C, 1 )</f>
        <v>0</v>
      </c>
      <c r="I37">
        <f ca="1">COUNTIFS(Allitems!B:B,data!G37, Allitems!C:C, 0 )</f>
        <v>1</v>
      </c>
      <c r="J37">
        <f ca="1">COUNTIFS(Allitems!B:B,data!G37, Allitems!C:C, 1,Allitems!S:S,1)</f>
        <v>0</v>
      </c>
      <c r="K37" s="66">
        <f t="shared" ca="1" si="0"/>
        <v>1</v>
      </c>
    </row>
    <row r="38" spans="3:11" x14ac:dyDescent="0.3">
      <c r="G38" t="s">
        <v>697</v>
      </c>
      <c r="H38">
        <f ca="1">COUNTIFS(Allitems!B:B,data!G38, Allitems!C:C, 1 )</f>
        <v>0</v>
      </c>
      <c r="I38">
        <f ca="1">COUNTIFS(Allitems!B:B,data!G38, Allitems!C:C, 0 )</f>
        <v>1</v>
      </c>
      <c r="J38">
        <f ca="1">COUNTIFS(Allitems!B:B,data!G38, Allitems!C:C, 1,Allitems!S:S,1)</f>
        <v>0</v>
      </c>
      <c r="K38" s="66">
        <f t="shared" ca="1" si="0"/>
        <v>1</v>
      </c>
    </row>
    <row r="39" spans="3:11" x14ac:dyDescent="0.3">
      <c r="G39" t="s">
        <v>713</v>
      </c>
      <c r="H39">
        <f ca="1">COUNTIFS(Allitems!B:B,data!G39, Allitems!C:C, 1 )</f>
        <v>0</v>
      </c>
      <c r="I39">
        <f ca="1">COUNTIFS(Allitems!B:B,data!G39, Allitems!C:C, 0 )</f>
        <v>1</v>
      </c>
      <c r="J39">
        <f ca="1">COUNTIFS(Allitems!B:B,data!G39, Allitems!C:C, 1,Allitems!S:S,1)</f>
        <v>0</v>
      </c>
      <c r="K39" s="66">
        <f t="shared" ca="1" si="0"/>
        <v>1</v>
      </c>
    </row>
    <row r="40" spans="3:11" x14ac:dyDescent="0.3">
      <c r="G40" t="s">
        <v>715</v>
      </c>
      <c r="H40">
        <f ca="1">COUNTIFS(Allitems!B:B,data!G40, Allitems!C:C, 1 )</f>
        <v>0</v>
      </c>
      <c r="I40">
        <f ca="1">COUNTIFS(Allitems!B:B,data!G40, Allitems!C:C, 0 )</f>
        <v>1</v>
      </c>
      <c r="J40">
        <f ca="1">COUNTIFS(Allitems!B:B,data!G40, Allitems!C:C, 1,Allitems!S:S,1)</f>
        <v>0</v>
      </c>
      <c r="K40" s="66">
        <f t="shared" ca="1" si="0"/>
        <v>1</v>
      </c>
    </row>
    <row r="41" spans="3:11" x14ac:dyDescent="0.3">
      <c r="G41" t="s">
        <v>716</v>
      </c>
      <c r="H41">
        <f ca="1">COUNTIFS(Allitems!B:B,data!G41, Allitems!C:C, 1 )</f>
        <v>0</v>
      </c>
      <c r="I41">
        <f ca="1">COUNTIFS(Allitems!B:B,data!G41, Allitems!C:C, 0 )</f>
        <v>1</v>
      </c>
      <c r="J41">
        <f ca="1">COUNTIFS(Allitems!B:B,data!G41, Allitems!C:C, 1,Allitems!S:S,1)</f>
        <v>0</v>
      </c>
      <c r="K41" s="66">
        <f t="shared" ca="1" si="0"/>
        <v>1</v>
      </c>
    </row>
    <row r="42" spans="3:11" x14ac:dyDescent="0.3">
      <c r="G42" t="s">
        <v>717</v>
      </c>
      <c r="H42">
        <f ca="1">COUNTIFS(Allitems!B:B,data!G42, Allitems!C:C, 1 )</f>
        <v>0</v>
      </c>
      <c r="I42">
        <f ca="1">COUNTIFS(Allitems!B:B,data!G42, Allitems!C:C, 0 )</f>
        <v>1</v>
      </c>
      <c r="J42">
        <f ca="1">COUNTIFS(Allitems!B:B,data!G42, Allitems!C:C, 1,Allitems!S:S,1)</f>
        <v>0</v>
      </c>
      <c r="K42" s="66">
        <f t="shared" ca="1" si="0"/>
        <v>1</v>
      </c>
    </row>
    <row r="43" spans="3:11" x14ac:dyDescent="0.3">
      <c r="G43" t="s">
        <v>718</v>
      </c>
      <c r="H43">
        <f ca="1">COUNTIFS(Allitems!B:B,data!G43, Allitems!C:C, 1 )</f>
        <v>0</v>
      </c>
      <c r="I43">
        <f ca="1">COUNTIFS(Allitems!B:B,data!G43, Allitems!C:C, 0 )</f>
        <v>1</v>
      </c>
      <c r="J43">
        <f ca="1">COUNTIFS(Allitems!B:B,data!G43, Allitems!C:C, 1,Allitems!S:S,1)</f>
        <v>0</v>
      </c>
      <c r="K43" s="66">
        <f t="shared" ca="1" si="0"/>
        <v>1</v>
      </c>
    </row>
    <row r="44" spans="3:11" x14ac:dyDescent="0.3">
      <c r="G44" t="s">
        <v>719</v>
      </c>
      <c r="H44">
        <f ca="1">COUNTIFS(Allitems!B:B,data!G44, Allitems!C:C, 1 )</f>
        <v>0</v>
      </c>
      <c r="I44">
        <f ca="1">COUNTIFS(Allitems!B:B,data!G44, Allitems!C:C, 0 )</f>
        <v>1</v>
      </c>
      <c r="J44">
        <f ca="1">COUNTIFS(Allitems!B:B,data!G44, Allitems!C:C, 1,Allitems!S:S,1)</f>
        <v>0</v>
      </c>
      <c r="K44" s="66">
        <f t="shared" ca="1" si="0"/>
        <v>1</v>
      </c>
    </row>
    <row r="45" spans="3:11" x14ac:dyDescent="0.3">
      <c r="G45" t="s">
        <v>720</v>
      </c>
      <c r="H45">
        <f ca="1">COUNTIFS(Allitems!B:B,data!G45, Allitems!C:C, 1 )</f>
        <v>0</v>
      </c>
      <c r="I45">
        <f ca="1">COUNTIFS(Allitems!B:B,data!G45, Allitems!C:C, 0 )</f>
        <v>1</v>
      </c>
      <c r="J45">
        <f ca="1">COUNTIFS(Allitems!B:B,data!G45, Allitems!C:C, 1,Allitems!S:S,1)</f>
        <v>0</v>
      </c>
      <c r="K45" s="66">
        <f t="shared" ca="1" si="0"/>
        <v>1</v>
      </c>
    </row>
    <row r="46" spans="3:11" x14ac:dyDescent="0.3">
      <c r="G46" t="s">
        <v>721</v>
      </c>
      <c r="H46">
        <f ca="1">COUNTIFS(Allitems!B:B,data!G46, Allitems!C:C, 1 )</f>
        <v>0</v>
      </c>
      <c r="I46">
        <f ca="1">COUNTIFS(Allitems!B:B,data!G46, Allitems!C:C, 0 )</f>
        <v>1</v>
      </c>
      <c r="J46">
        <f ca="1">COUNTIFS(Allitems!B:B,data!G46, Allitems!C:C, 1,Allitems!S:S,1)</f>
        <v>0</v>
      </c>
      <c r="K46" s="66">
        <f t="shared" ca="1" si="0"/>
        <v>1</v>
      </c>
    </row>
    <row r="47" spans="3:11" x14ac:dyDescent="0.3">
      <c r="G47" t="s">
        <v>722</v>
      </c>
      <c r="H47">
        <f ca="1">COUNTIFS(Allitems!B:B,data!G47, Allitems!C:C, 1 )</f>
        <v>0</v>
      </c>
      <c r="I47">
        <f ca="1">COUNTIFS(Allitems!B:B,data!G47, Allitems!C:C, 0 )</f>
        <v>1</v>
      </c>
      <c r="J47">
        <f ca="1">COUNTIFS(Allitems!B:B,data!G47, Allitems!C:C, 1,Allitems!S:S,1)</f>
        <v>0</v>
      </c>
      <c r="K47" s="66">
        <f t="shared" ca="1" si="0"/>
        <v>1</v>
      </c>
    </row>
    <row r="48" spans="3:11" x14ac:dyDescent="0.3">
      <c r="G48" t="s">
        <v>723</v>
      </c>
      <c r="H48">
        <f ca="1">COUNTIFS(Allitems!B:B,data!G48, Allitems!C:C, 1 )</f>
        <v>0</v>
      </c>
      <c r="I48">
        <f ca="1">COUNTIFS(Allitems!B:B,data!G48, Allitems!C:C, 0 )</f>
        <v>1</v>
      </c>
      <c r="J48">
        <f ca="1">COUNTIFS(Allitems!B:B,data!G48, Allitems!C:C, 1,Allitems!S:S,1)</f>
        <v>0</v>
      </c>
      <c r="K48" s="66">
        <f t="shared" ca="1" si="0"/>
        <v>1</v>
      </c>
    </row>
  </sheetData>
  <phoneticPr fontId="4" type="noConversion"/>
  <hyperlinks>
    <hyperlink ref="L5" r:id="rId1" display="r.delostrinos@yahoo.com" xr:uid="{5BE736A2-E545-4179-819B-91F59900FE41}"/>
    <hyperlink ref="M4" r:id="rId2" display="r.delostrinos@outlook.com" xr:uid="{A61BC8B1-EEA1-45A9-9224-333FDB0D0BB7}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9DF00-BCDE-49F8-B2A8-D480D895708F}">
  <sheetPr codeName="Sheet3"/>
  <dimension ref="A1"/>
  <sheetViews>
    <sheetView tabSelected="1" workbookViewId="0">
      <pane ySplit="7" topLeftCell="A14" activePane="bottomLeft" state="frozen"/>
      <selection activeCell="E23" sqref="E23"/>
      <selection pane="bottomLeft" activeCell="L23" sqref="L23"/>
    </sheetView>
  </sheetViews>
  <sheetFormatPr defaultColWidth="9.109375" defaultRowHeight="14.4" x14ac:dyDescent="0.3"/>
  <cols>
    <col min="1" max="16384" width="9.109375" style="3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I_Click">
                <anchor moveWithCells="1" sizeWithCells="1">
                  <from>
                    <xdr:col>0</xdr:col>
                    <xdr:colOff>495300</xdr:colOff>
                    <xdr:row>2</xdr:row>
                    <xdr:rowOff>60960</xdr:rowOff>
                  </from>
                  <to>
                    <xdr:col>5</xdr:col>
                    <xdr:colOff>274320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041F7-7D95-4EEC-8252-094DC809FA2D}">
  <sheetPr codeName="Sheet4"/>
  <dimension ref="A1:FR1220"/>
  <sheetViews>
    <sheetView zoomScaleNormal="100" workbookViewId="0">
      <pane xSplit="3" ySplit="3" topLeftCell="P113" activePane="bottomRight" state="frozen"/>
      <selection pane="topRight" activeCell="D1" sqref="D1"/>
      <selection pane="bottomLeft" activeCell="A4" sqref="A4"/>
      <selection pane="bottomRight" activeCell="U123" sqref="U123"/>
    </sheetView>
  </sheetViews>
  <sheetFormatPr defaultRowHeight="14.4" x14ac:dyDescent="0.3"/>
  <cols>
    <col min="1" max="1" width="6.88671875" style="1" customWidth="1"/>
    <col min="2" max="2" width="23.44140625" style="1" bestFit="1" customWidth="1"/>
    <col min="3" max="3" width="11.5546875" style="40" customWidth="1"/>
    <col min="4" max="4" width="27.44140625" customWidth="1"/>
    <col min="5" max="5" width="44.6640625" customWidth="1"/>
    <col min="6" max="6" width="12.44140625" customWidth="1"/>
    <col min="7" max="7" width="18.5546875" style="2" customWidth="1"/>
    <col min="8" max="8" width="19.33203125" style="2" customWidth="1"/>
    <col min="9" max="9" width="19.88671875" style="1" customWidth="1"/>
    <col min="10" max="10" width="15.5546875" style="1" customWidth="1"/>
    <col min="11" max="11" width="15.5546875" style="20" customWidth="1"/>
    <col min="12" max="12" width="13.109375" style="47" bestFit="1" customWidth="1"/>
    <col min="13" max="13" width="18.109375" style="47" bestFit="1" customWidth="1"/>
    <col min="14" max="14" width="18.109375" style="50" customWidth="1"/>
    <col min="15" max="15" width="35.5546875" style="37" customWidth="1"/>
    <col min="16" max="16" width="13.109375" style="20" customWidth="1"/>
    <col min="17" max="17" width="14.88671875" style="44" customWidth="1"/>
    <col min="18" max="18" width="21.6640625" style="44" bestFit="1" customWidth="1"/>
    <col min="19" max="19" width="16.88671875" style="49" customWidth="1"/>
    <col min="20" max="20" width="15" style="26" bestFit="1" customWidth="1"/>
    <col min="21" max="21" width="17.6640625" style="31" customWidth="1"/>
    <col min="22" max="22" width="16.109375" style="17" customWidth="1"/>
    <col min="23" max="23" width="15" style="17" customWidth="1"/>
    <col min="24" max="25" width="14.6640625" style="17" customWidth="1"/>
    <col min="26" max="26" width="9.33203125" style="17" bestFit="1" customWidth="1"/>
    <col min="27" max="172" width="8.88671875" style="17"/>
  </cols>
  <sheetData>
    <row r="1" spans="1:174" s="55" customFormat="1" ht="18" x14ac:dyDescent="0.35">
      <c r="A1" s="56" t="s">
        <v>77</v>
      </c>
      <c r="B1" s="57"/>
      <c r="C1" s="57"/>
      <c r="G1" s="58"/>
      <c r="H1" s="58"/>
      <c r="I1" s="58"/>
      <c r="J1" s="57"/>
      <c r="K1" s="57"/>
      <c r="M1" s="57"/>
      <c r="N1" s="58"/>
      <c r="O1" s="59"/>
      <c r="P1" s="58"/>
      <c r="Q1" s="58"/>
      <c r="R1" s="58"/>
      <c r="S1" s="58"/>
      <c r="T1" s="60"/>
      <c r="U1" s="60"/>
      <c r="V1" s="17"/>
      <c r="W1" s="17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</row>
    <row r="2" spans="1:174" s="55" customFormat="1" ht="56.4" customHeight="1" x14ac:dyDescent="0.3">
      <c r="A2" s="62">
        <f ca="1">NOW()</f>
        <v>45104.884366435188</v>
      </c>
      <c r="B2" s="57"/>
      <c r="C2" s="57"/>
      <c r="G2" s="58"/>
      <c r="H2" s="58"/>
      <c r="I2" s="58"/>
      <c r="J2" s="57"/>
      <c r="K2" s="57"/>
      <c r="M2" s="57"/>
      <c r="N2" s="58"/>
      <c r="O2" s="59"/>
      <c r="P2" s="58"/>
      <c r="Q2" s="57" t="s">
        <v>679</v>
      </c>
      <c r="R2" s="63" t="s">
        <v>738</v>
      </c>
      <c r="S2" s="63" t="s">
        <v>730</v>
      </c>
      <c r="T2" s="60"/>
      <c r="U2" s="60"/>
      <c r="V2" s="17"/>
      <c r="W2" s="17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</row>
    <row r="3" spans="1:174" x14ac:dyDescent="0.3">
      <c r="A3" s="10" t="s">
        <v>75</v>
      </c>
      <c r="B3" s="11" t="s">
        <v>0</v>
      </c>
      <c r="C3" s="41" t="s">
        <v>676</v>
      </c>
      <c r="D3" s="12" t="s">
        <v>32</v>
      </c>
      <c r="E3" s="12" t="s">
        <v>33</v>
      </c>
      <c r="F3" s="18" t="s">
        <v>1</v>
      </c>
      <c r="G3" s="15" t="s">
        <v>2</v>
      </c>
      <c r="H3" s="15" t="s">
        <v>3</v>
      </c>
      <c r="I3" s="15" t="s">
        <v>31</v>
      </c>
      <c r="J3" s="16" t="s">
        <v>81</v>
      </c>
      <c r="K3" s="19" t="s">
        <v>82</v>
      </c>
      <c r="L3" s="41" t="s">
        <v>76</v>
      </c>
      <c r="M3" s="41" t="s">
        <v>43</v>
      </c>
      <c r="N3" s="21" t="s">
        <v>28</v>
      </c>
      <c r="O3" s="21" t="s">
        <v>80</v>
      </c>
      <c r="P3" s="21" t="s">
        <v>64</v>
      </c>
      <c r="Q3" s="42" t="s">
        <v>677</v>
      </c>
      <c r="R3" s="42" t="s">
        <v>678</v>
      </c>
      <c r="S3" s="21" t="s">
        <v>680</v>
      </c>
      <c r="T3" s="27" t="s">
        <v>29</v>
      </c>
      <c r="U3" s="28" t="s">
        <v>30</v>
      </c>
    </row>
    <row r="4" spans="1:174" x14ac:dyDescent="0.3">
      <c r="A4" s="13">
        <v>1</v>
      </c>
      <c r="B4" s="4" t="s">
        <v>251</v>
      </c>
      <c r="C4" s="39">
        <f t="shared" ref="C4:C68" ca="1" si="0">IF(L4&lt;=$A$2,1,0)</f>
        <v>1</v>
      </c>
      <c r="D4" s="5" t="s">
        <v>105</v>
      </c>
      <c r="E4" s="5" t="s">
        <v>137</v>
      </c>
      <c r="F4" s="7" t="s">
        <v>79</v>
      </c>
      <c r="G4" s="6" t="s">
        <v>681</v>
      </c>
      <c r="H4" s="2" t="s">
        <v>681</v>
      </c>
      <c r="I4" s="6">
        <v>60</v>
      </c>
      <c r="J4" s="4">
        <v>30</v>
      </c>
      <c r="K4" s="48">
        <v>234</v>
      </c>
      <c r="L4" s="45">
        <f>IF(N4="",M4,N4)</f>
        <v>45084</v>
      </c>
      <c r="M4" s="46">
        <f t="shared" ref="M4:M32" si="1">T4+I4</f>
        <v>45155</v>
      </c>
      <c r="N4" s="50">
        <v>45084</v>
      </c>
      <c r="O4" s="35"/>
      <c r="P4" s="22"/>
      <c r="Q4" s="43">
        <f>IF(O4&lt;&gt;0,1,0)</f>
        <v>0</v>
      </c>
      <c r="R4" s="43">
        <f ca="1">IF(L4&lt;=($A$2+10),1,0)</f>
        <v>1</v>
      </c>
      <c r="S4" s="22"/>
      <c r="T4" s="24">
        <v>45095</v>
      </c>
      <c r="U4" s="24">
        <v>45094</v>
      </c>
      <c r="V4" s="64"/>
      <c r="W4" s="65"/>
      <c r="FQ4" s="17"/>
      <c r="FR4" s="17"/>
    </row>
    <row r="5" spans="1:174" x14ac:dyDescent="0.3">
      <c r="A5" s="13">
        <v>2</v>
      </c>
      <c r="B5" s="4" t="s">
        <v>251</v>
      </c>
      <c r="C5" s="39">
        <f t="shared" ca="1" si="0"/>
        <v>0</v>
      </c>
      <c r="D5" s="5" t="s">
        <v>105</v>
      </c>
      <c r="E5" s="5" t="s">
        <v>138</v>
      </c>
      <c r="F5" s="7" t="s">
        <v>79</v>
      </c>
      <c r="G5" s="6" t="s">
        <v>681</v>
      </c>
      <c r="H5" s="2" t="s">
        <v>681</v>
      </c>
      <c r="I5" s="6">
        <v>30</v>
      </c>
      <c r="J5" s="4">
        <v>30</v>
      </c>
      <c r="K5" s="48">
        <v>33</v>
      </c>
      <c r="L5" s="45">
        <f t="shared" ref="L5:L68" si="2">IF(N5="",M5,N5)</f>
        <v>45124</v>
      </c>
      <c r="M5" s="46">
        <f t="shared" si="1"/>
        <v>45124</v>
      </c>
      <c r="O5" s="35"/>
      <c r="P5" s="22"/>
      <c r="Q5" s="43">
        <f t="shared" ref="Q5:Q68" si="3">IF(O5&lt;&gt;0,1,0)</f>
        <v>0</v>
      </c>
      <c r="R5" s="43">
        <f t="shared" ref="R5:R68" ca="1" si="4">IF(AND(L5&lt;($A$2+7), L5&gt;($A$2+6)),1,0)</f>
        <v>0</v>
      </c>
      <c r="S5" s="22"/>
      <c r="T5" s="24">
        <v>45094</v>
      </c>
      <c r="U5" s="29"/>
    </row>
    <row r="6" spans="1:174" x14ac:dyDescent="0.3">
      <c r="A6" s="13">
        <v>3</v>
      </c>
      <c r="B6" s="4" t="s">
        <v>251</v>
      </c>
      <c r="C6" s="39">
        <f t="shared" ca="1" si="0"/>
        <v>1</v>
      </c>
      <c r="D6" s="5" t="s">
        <v>105</v>
      </c>
      <c r="E6" s="5" t="s">
        <v>139</v>
      </c>
      <c r="F6" s="7" t="s">
        <v>79</v>
      </c>
      <c r="G6" s="6" t="s">
        <v>681</v>
      </c>
      <c r="H6" s="2" t="s">
        <v>681</v>
      </c>
      <c r="I6" s="6">
        <v>365</v>
      </c>
      <c r="J6" s="4">
        <v>15</v>
      </c>
      <c r="K6" s="48"/>
      <c r="L6" s="45">
        <f t="shared" si="2"/>
        <v>45084</v>
      </c>
      <c r="M6" s="46">
        <f t="shared" si="1"/>
        <v>45455</v>
      </c>
      <c r="N6" s="50">
        <v>45084</v>
      </c>
      <c r="O6" s="35"/>
      <c r="P6" s="22"/>
      <c r="Q6" s="43">
        <f t="shared" si="3"/>
        <v>0</v>
      </c>
      <c r="R6" s="43">
        <f t="shared" ca="1" si="4"/>
        <v>0</v>
      </c>
      <c r="S6" s="22"/>
      <c r="T6" s="24">
        <v>45090</v>
      </c>
      <c r="U6" s="29"/>
    </row>
    <row r="7" spans="1:174" x14ac:dyDescent="0.3">
      <c r="A7" s="13">
        <v>4</v>
      </c>
      <c r="B7" s="4" t="s">
        <v>251</v>
      </c>
      <c r="C7" s="39">
        <f t="shared" ca="1" si="0"/>
        <v>0</v>
      </c>
      <c r="D7" s="5" t="s">
        <v>106</v>
      </c>
      <c r="E7" s="5" t="s">
        <v>140</v>
      </c>
      <c r="F7" s="7" t="s">
        <v>79</v>
      </c>
      <c r="G7" s="6" t="s">
        <v>681</v>
      </c>
      <c r="H7" s="2" t="s">
        <v>681</v>
      </c>
      <c r="I7" s="6">
        <v>1000</v>
      </c>
      <c r="J7" s="4">
        <v>120</v>
      </c>
      <c r="K7" s="48"/>
      <c r="L7" s="45">
        <f t="shared" si="2"/>
        <v>46089</v>
      </c>
      <c r="M7" s="46">
        <f t="shared" si="1"/>
        <v>46089</v>
      </c>
      <c r="O7" s="35"/>
      <c r="P7" s="22"/>
      <c r="Q7" s="43">
        <f t="shared" si="3"/>
        <v>0</v>
      </c>
      <c r="R7" s="43">
        <f t="shared" ca="1" si="4"/>
        <v>0</v>
      </c>
      <c r="S7" s="22"/>
      <c r="T7" s="24">
        <v>45089</v>
      </c>
      <c r="U7" s="29"/>
    </row>
    <row r="8" spans="1:174" x14ac:dyDescent="0.3">
      <c r="A8" s="13">
        <v>5</v>
      </c>
      <c r="B8" s="1" t="s">
        <v>710</v>
      </c>
      <c r="C8" s="39">
        <f t="shared" ca="1" si="0"/>
        <v>0</v>
      </c>
      <c r="D8" s="5" t="s">
        <v>107</v>
      </c>
      <c r="E8" s="5" t="s">
        <v>141</v>
      </c>
      <c r="F8" s="7" t="s">
        <v>79</v>
      </c>
      <c r="G8" s="6" t="s">
        <v>681</v>
      </c>
      <c r="H8" s="2" t="s">
        <v>681</v>
      </c>
      <c r="I8" s="6">
        <v>1000</v>
      </c>
      <c r="J8" s="4">
        <v>120</v>
      </c>
      <c r="K8" s="48"/>
      <c r="L8" s="45">
        <f t="shared" si="2"/>
        <v>46092</v>
      </c>
      <c r="M8" s="46">
        <f t="shared" si="1"/>
        <v>46092</v>
      </c>
      <c r="O8" s="35"/>
      <c r="P8" s="22"/>
      <c r="Q8" s="43">
        <f t="shared" si="3"/>
        <v>0</v>
      </c>
      <c r="R8" s="43">
        <f t="shared" ca="1" si="4"/>
        <v>0</v>
      </c>
      <c r="S8" s="22"/>
      <c r="T8" s="24">
        <v>45092</v>
      </c>
      <c r="U8" s="29"/>
    </row>
    <row r="9" spans="1:174" x14ac:dyDescent="0.3">
      <c r="A9" s="13">
        <v>6</v>
      </c>
      <c r="B9" s="1" t="s">
        <v>710</v>
      </c>
      <c r="C9" s="39">
        <f t="shared" ca="1" si="0"/>
        <v>0</v>
      </c>
      <c r="D9" s="5" t="s">
        <v>107</v>
      </c>
      <c r="E9" s="5" t="s">
        <v>142</v>
      </c>
      <c r="F9" s="7" t="s">
        <v>79</v>
      </c>
      <c r="G9" s="6" t="s">
        <v>681</v>
      </c>
      <c r="H9" s="2" t="s">
        <v>681</v>
      </c>
      <c r="I9" s="6">
        <v>365</v>
      </c>
      <c r="J9" s="4">
        <v>60</v>
      </c>
      <c r="K9" s="48"/>
      <c r="L9" s="45">
        <f t="shared" si="2"/>
        <v>45455</v>
      </c>
      <c r="M9" s="46">
        <f t="shared" si="1"/>
        <v>45455</v>
      </c>
      <c r="O9" s="35"/>
      <c r="P9" s="22"/>
      <c r="Q9" s="43">
        <f t="shared" si="3"/>
        <v>0</v>
      </c>
      <c r="R9" s="43">
        <f t="shared" ca="1" si="4"/>
        <v>0</v>
      </c>
      <c r="S9" s="22"/>
      <c r="T9" s="24">
        <v>45090</v>
      </c>
      <c r="U9" s="29"/>
    </row>
    <row r="10" spans="1:174" x14ac:dyDescent="0.3">
      <c r="A10" s="13">
        <v>7</v>
      </c>
      <c r="B10" s="4" t="s">
        <v>699</v>
      </c>
      <c r="C10" s="39">
        <f t="shared" ca="1" si="0"/>
        <v>0</v>
      </c>
      <c r="D10" s="5" t="s">
        <v>34</v>
      </c>
      <c r="E10" s="5" t="s">
        <v>4</v>
      </c>
      <c r="F10" s="7" t="s">
        <v>79</v>
      </c>
      <c r="G10" s="6" t="s">
        <v>681</v>
      </c>
      <c r="H10" s="2" t="s">
        <v>681</v>
      </c>
      <c r="I10" s="6">
        <v>365</v>
      </c>
      <c r="J10" s="4">
        <v>30</v>
      </c>
      <c r="K10" s="48"/>
      <c r="L10" s="45">
        <f t="shared" si="2"/>
        <v>45455</v>
      </c>
      <c r="M10" s="46">
        <f t="shared" si="1"/>
        <v>45455</v>
      </c>
      <c r="O10" s="35"/>
      <c r="P10" s="22"/>
      <c r="Q10" s="43">
        <f t="shared" si="3"/>
        <v>0</v>
      </c>
      <c r="R10" s="43">
        <f t="shared" ca="1" si="4"/>
        <v>0</v>
      </c>
      <c r="S10" s="22"/>
      <c r="T10" s="24">
        <v>45090</v>
      </c>
      <c r="U10" s="29"/>
    </row>
    <row r="11" spans="1:174" x14ac:dyDescent="0.3">
      <c r="A11" s="13">
        <v>8</v>
      </c>
      <c r="B11" s="4" t="s">
        <v>699</v>
      </c>
      <c r="C11" s="39">
        <f t="shared" ca="1" si="0"/>
        <v>0</v>
      </c>
      <c r="D11" s="5" t="s">
        <v>34</v>
      </c>
      <c r="E11" s="5" t="s">
        <v>5</v>
      </c>
      <c r="F11" s="7" t="s">
        <v>79</v>
      </c>
      <c r="G11" s="6" t="s">
        <v>681</v>
      </c>
      <c r="H11" s="2" t="s">
        <v>681</v>
      </c>
      <c r="I11" s="6">
        <v>365</v>
      </c>
      <c r="J11" s="4">
        <v>30</v>
      </c>
      <c r="K11" s="48"/>
      <c r="L11" s="45">
        <f t="shared" si="2"/>
        <v>45448</v>
      </c>
      <c r="M11" s="46">
        <f t="shared" si="1"/>
        <v>45448</v>
      </c>
      <c r="O11" s="35"/>
      <c r="P11" s="22"/>
      <c r="Q11" s="43">
        <f t="shared" si="3"/>
        <v>0</v>
      </c>
      <c r="R11" s="43">
        <f t="shared" ca="1" si="4"/>
        <v>0</v>
      </c>
      <c r="S11" s="22"/>
      <c r="T11" s="24">
        <v>45083</v>
      </c>
      <c r="U11" s="29"/>
    </row>
    <row r="12" spans="1:174" x14ac:dyDescent="0.3">
      <c r="A12" s="13">
        <v>9</v>
      </c>
      <c r="B12" s="4" t="s">
        <v>699</v>
      </c>
      <c r="C12" s="39">
        <f t="shared" ca="1" si="0"/>
        <v>0</v>
      </c>
      <c r="D12" s="5" t="s">
        <v>34</v>
      </c>
      <c r="E12" s="5" t="s">
        <v>6</v>
      </c>
      <c r="F12" s="7" t="s">
        <v>79</v>
      </c>
      <c r="G12" s="6" t="s">
        <v>681</v>
      </c>
      <c r="H12" s="2" t="s">
        <v>681</v>
      </c>
      <c r="I12" s="6">
        <v>365</v>
      </c>
      <c r="J12" s="4">
        <v>30</v>
      </c>
      <c r="K12" s="48"/>
      <c r="L12" s="45">
        <f t="shared" si="2"/>
        <v>45448</v>
      </c>
      <c r="M12" s="46">
        <f t="shared" si="1"/>
        <v>45448</v>
      </c>
      <c r="O12" s="35"/>
      <c r="P12" s="22"/>
      <c r="Q12" s="43">
        <f t="shared" si="3"/>
        <v>0</v>
      </c>
      <c r="R12" s="43">
        <f t="shared" ca="1" si="4"/>
        <v>0</v>
      </c>
      <c r="S12" s="22"/>
      <c r="T12" s="24">
        <v>45083</v>
      </c>
      <c r="U12" s="29"/>
    </row>
    <row r="13" spans="1:174" x14ac:dyDescent="0.3">
      <c r="A13" s="13">
        <v>10</v>
      </c>
      <c r="B13" s="4" t="s">
        <v>699</v>
      </c>
      <c r="C13" s="39">
        <f t="shared" ca="1" si="0"/>
        <v>1</v>
      </c>
      <c r="D13" s="5" t="s">
        <v>34</v>
      </c>
      <c r="E13" s="5" t="s">
        <v>7</v>
      </c>
      <c r="F13" s="7" t="s">
        <v>79</v>
      </c>
      <c r="G13" s="6" t="s">
        <v>681</v>
      </c>
      <c r="H13" s="2" t="s">
        <v>681</v>
      </c>
      <c r="I13" s="6">
        <v>365</v>
      </c>
      <c r="J13" s="4">
        <v>30</v>
      </c>
      <c r="K13" s="48"/>
      <c r="L13" s="45">
        <f t="shared" si="2"/>
        <v>45084</v>
      </c>
      <c r="M13" s="46">
        <f t="shared" si="1"/>
        <v>45448</v>
      </c>
      <c r="N13" s="50">
        <v>45084</v>
      </c>
      <c r="O13" s="35"/>
      <c r="P13" s="22"/>
      <c r="Q13" s="43">
        <f t="shared" si="3"/>
        <v>0</v>
      </c>
      <c r="R13" s="43">
        <f t="shared" ca="1" si="4"/>
        <v>0</v>
      </c>
      <c r="S13" s="22"/>
      <c r="T13" s="24">
        <v>45083</v>
      </c>
      <c r="U13" s="29"/>
    </row>
    <row r="14" spans="1:174" x14ac:dyDescent="0.3">
      <c r="A14" s="13">
        <v>11</v>
      </c>
      <c r="B14" s="4" t="s">
        <v>699</v>
      </c>
      <c r="C14" s="39">
        <f t="shared" ca="1" si="0"/>
        <v>0</v>
      </c>
      <c r="D14" s="5" t="s">
        <v>34</v>
      </c>
      <c r="E14" s="5" t="s">
        <v>8</v>
      </c>
      <c r="F14" s="7" t="s">
        <v>79</v>
      </c>
      <c r="G14" s="6" t="s">
        <v>681</v>
      </c>
      <c r="H14" s="2" t="s">
        <v>681</v>
      </c>
      <c r="I14" s="6">
        <v>730</v>
      </c>
      <c r="J14" s="4">
        <v>30</v>
      </c>
      <c r="K14" s="48"/>
      <c r="L14" s="45">
        <f t="shared" si="2"/>
        <v>45813</v>
      </c>
      <c r="M14" s="46">
        <f t="shared" si="1"/>
        <v>45813</v>
      </c>
      <c r="O14" s="35"/>
      <c r="P14" s="22"/>
      <c r="Q14" s="43">
        <f t="shared" si="3"/>
        <v>0</v>
      </c>
      <c r="R14" s="43">
        <f t="shared" ca="1" si="4"/>
        <v>0</v>
      </c>
      <c r="S14" s="22"/>
      <c r="T14" s="24">
        <v>45083</v>
      </c>
      <c r="U14" s="29"/>
    </row>
    <row r="15" spans="1:174" x14ac:dyDescent="0.3">
      <c r="A15" s="13">
        <v>12</v>
      </c>
      <c r="B15" s="4" t="s">
        <v>699</v>
      </c>
      <c r="C15" s="39">
        <f t="shared" ca="1" si="0"/>
        <v>0</v>
      </c>
      <c r="D15" s="5" t="s">
        <v>34</v>
      </c>
      <c r="E15" s="5" t="s">
        <v>9</v>
      </c>
      <c r="F15" s="7" t="s">
        <v>79</v>
      </c>
      <c r="G15" s="6" t="s">
        <v>681</v>
      </c>
      <c r="H15" s="2" t="s">
        <v>681</v>
      </c>
      <c r="I15" s="6">
        <v>730</v>
      </c>
      <c r="J15" s="4">
        <v>30</v>
      </c>
      <c r="K15" s="48"/>
      <c r="L15" s="45">
        <f t="shared" si="2"/>
        <v>45813</v>
      </c>
      <c r="M15" s="46">
        <f t="shared" si="1"/>
        <v>45813</v>
      </c>
      <c r="O15" s="35"/>
      <c r="P15" s="22"/>
      <c r="Q15" s="43">
        <f t="shared" si="3"/>
        <v>0</v>
      </c>
      <c r="R15" s="43">
        <f t="shared" ca="1" si="4"/>
        <v>0</v>
      </c>
      <c r="S15" s="22"/>
      <c r="T15" s="24">
        <v>45083</v>
      </c>
      <c r="U15" s="29"/>
    </row>
    <row r="16" spans="1:174" x14ac:dyDescent="0.3">
      <c r="A16" s="13">
        <v>13</v>
      </c>
      <c r="B16" s="4" t="s">
        <v>699</v>
      </c>
      <c r="C16" s="39">
        <f t="shared" ca="1" si="0"/>
        <v>0</v>
      </c>
      <c r="D16" s="5" t="s">
        <v>35</v>
      </c>
      <c r="E16" s="5" t="s">
        <v>221</v>
      </c>
      <c r="F16" s="7" t="s">
        <v>79</v>
      </c>
      <c r="G16" s="6" t="s">
        <v>681</v>
      </c>
      <c r="H16" s="2" t="s">
        <v>681</v>
      </c>
      <c r="I16" s="6">
        <v>180</v>
      </c>
      <c r="J16" s="4">
        <v>30</v>
      </c>
      <c r="K16" s="48"/>
      <c r="L16" s="45">
        <f t="shared" si="2"/>
        <v>45263</v>
      </c>
      <c r="M16" s="46">
        <f t="shared" si="1"/>
        <v>45263</v>
      </c>
      <c r="O16" s="35"/>
      <c r="P16" s="22"/>
      <c r="Q16" s="43">
        <f t="shared" si="3"/>
        <v>0</v>
      </c>
      <c r="R16" s="43">
        <f t="shared" ca="1" si="4"/>
        <v>0</v>
      </c>
      <c r="S16" s="22"/>
      <c r="T16" s="24">
        <v>45083</v>
      </c>
      <c r="U16" s="29"/>
    </row>
    <row r="17" spans="1:21" x14ac:dyDescent="0.3">
      <c r="A17" s="13">
        <v>14</v>
      </c>
      <c r="B17" s="4" t="s">
        <v>699</v>
      </c>
      <c r="C17" s="39">
        <f t="shared" ca="1" si="0"/>
        <v>0</v>
      </c>
      <c r="D17" s="5" t="s">
        <v>35</v>
      </c>
      <c r="E17" s="5" t="s">
        <v>11</v>
      </c>
      <c r="F17" s="7" t="s">
        <v>79</v>
      </c>
      <c r="G17" s="6" t="s">
        <v>681</v>
      </c>
      <c r="H17" s="2" t="s">
        <v>681</v>
      </c>
      <c r="I17" s="1">
        <v>730</v>
      </c>
      <c r="J17" s="4">
        <v>100</v>
      </c>
      <c r="K17" s="48"/>
      <c r="L17" s="45">
        <f t="shared" si="2"/>
        <v>45813</v>
      </c>
      <c r="M17" s="46">
        <f t="shared" si="1"/>
        <v>45813</v>
      </c>
      <c r="O17" s="35"/>
      <c r="P17" s="22"/>
      <c r="Q17" s="43">
        <f t="shared" si="3"/>
        <v>0</v>
      </c>
      <c r="R17" s="43">
        <f t="shared" ca="1" si="4"/>
        <v>0</v>
      </c>
      <c r="S17" s="22"/>
      <c r="T17" s="24">
        <v>45083</v>
      </c>
      <c r="U17" s="29"/>
    </row>
    <row r="18" spans="1:21" x14ac:dyDescent="0.3">
      <c r="A18" s="13">
        <v>15</v>
      </c>
      <c r="B18" s="4" t="s">
        <v>699</v>
      </c>
      <c r="C18" s="39">
        <f t="shared" ca="1" si="0"/>
        <v>0</v>
      </c>
      <c r="D18" s="5" t="s">
        <v>35</v>
      </c>
      <c r="E18" s="5" t="s">
        <v>12</v>
      </c>
      <c r="F18" s="7" t="s">
        <v>79</v>
      </c>
      <c r="G18" s="6" t="s">
        <v>681</v>
      </c>
      <c r="H18" s="2" t="s">
        <v>681</v>
      </c>
      <c r="I18" s="6">
        <v>730</v>
      </c>
      <c r="J18" s="4">
        <v>120</v>
      </c>
      <c r="K18" s="48">
        <v>12</v>
      </c>
      <c r="L18" s="45">
        <f t="shared" si="2"/>
        <v>45824</v>
      </c>
      <c r="M18" s="46">
        <f t="shared" si="1"/>
        <v>45824</v>
      </c>
      <c r="O18" s="35"/>
      <c r="P18" s="22"/>
      <c r="Q18" s="43">
        <f t="shared" si="3"/>
        <v>0</v>
      </c>
      <c r="R18" s="43">
        <f t="shared" ca="1" si="4"/>
        <v>0</v>
      </c>
      <c r="S18" s="22"/>
      <c r="T18" s="24">
        <v>45094</v>
      </c>
      <c r="U18" s="29"/>
    </row>
    <row r="19" spans="1:21" x14ac:dyDescent="0.3">
      <c r="A19" s="13">
        <v>16</v>
      </c>
      <c r="B19" s="4" t="s">
        <v>699</v>
      </c>
      <c r="C19" s="39">
        <f t="shared" ca="1" si="0"/>
        <v>0</v>
      </c>
      <c r="D19" s="5" t="s">
        <v>36</v>
      </c>
      <c r="E19" s="5" t="s">
        <v>13</v>
      </c>
      <c r="F19" s="7" t="s">
        <v>79</v>
      </c>
      <c r="G19" s="6" t="s">
        <v>681</v>
      </c>
      <c r="H19" s="2" t="s">
        <v>681</v>
      </c>
      <c r="I19" s="6">
        <v>730</v>
      </c>
      <c r="J19" s="4">
        <v>45</v>
      </c>
      <c r="K19" s="48"/>
      <c r="L19" s="45">
        <f t="shared" si="2"/>
        <v>45813</v>
      </c>
      <c r="M19" s="46">
        <f t="shared" si="1"/>
        <v>45813</v>
      </c>
      <c r="O19" s="35"/>
      <c r="P19" s="22"/>
      <c r="Q19" s="43">
        <f t="shared" si="3"/>
        <v>0</v>
      </c>
      <c r="R19" s="43">
        <f t="shared" ca="1" si="4"/>
        <v>0</v>
      </c>
      <c r="S19" s="22"/>
      <c r="T19" s="24">
        <v>45083</v>
      </c>
      <c r="U19" s="29"/>
    </row>
    <row r="20" spans="1:21" x14ac:dyDescent="0.3">
      <c r="A20" s="13">
        <v>17</v>
      </c>
      <c r="B20" s="4" t="s">
        <v>699</v>
      </c>
      <c r="C20" s="39">
        <f t="shared" ca="1" si="0"/>
        <v>1</v>
      </c>
      <c r="D20" s="5" t="s">
        <v>36</v>
      </c>
      <c r="E20" s="5" t="s">
        <v>14</v>
      </c>
      <c r="F20" s="7" t="s">
        <v>79</v>
      </c>
      <c r="G20" s="6" t="s">
        <v>681</v>
      </c>
      <c r="H20" s="2" t="s">
        <v>681</v>
      </c>
      <c r="I20" s="6">
        <v>730</v>
      </c>
      <c r="J20" s="4">
        <v>30</v>
      </c>
      <c r="K20" s="48"/>
      <c r="L20" s="45">
        <f t="shared" si="2"/>
        <v>45084</v>
      </c>
      <c r="M20" s="46">
        <f t="shared" si="1"/>
        <v>45813</v>
      </c>
      <c r="N20" s="50">
        <v>45084</v>
      </c>
      <c r="O20" s="35"/>
      <c r="P20" s="22"/>
      <c r="Q20" s="43">
        <f t="shared" si="3"/>
        <v>0</v>
      </c>
      <c r="R20" s="43">
        <f t="shared" ca="1" si="4"/>
        <v>0</v>
      </c>
      <c r="S20" s="22"/>
      <c r="T20" s="24">
        <v>45083</v>
      </c>
      <c r="U20" s="29"/>
    </row>
    <row r="21" spans="1:21" x14ac:dyDescent="0.3">
      <c r="A21" s="13">
        <v>18</v>
      </c>
      <c r="B21" s="4" t="s">
        <v>699</v>
      </c>
      <c r="C21" s="39">
        <f t="shared" ca="1" si="0"/>
        <v>0</v>
      </c>
      <c r="D21" s="5" t="s">
        <v>36</v>
      </c>
      <c r="E21" s="5" t="s">
        <v>15</v>
      </c>
      <c r="F21" s="7" t="s">
        <v>79</v>
      </c>
      <c r="G21" s="6" t="s">
        <v>681</v>
      </c>
      <c r="H21" s="2" t="s">
        <v>681</v>
      </c>
      <c r="I21" s="6">
        <v>730</v>
      </c>
      <c r="J21" s="4">
        <v>45</v>
      </c>
      <c r="K21" s="48"/>
      <c r="L21" s="45">
        <f t="shared" si="2"/>
        <v>45813</v>
      </c>
      <c r="M21" s="46">
        <f t="shared" si="1"/>
        <v>45813</v>
      </c>
      <c r="O21" s="35"/>
      <c r="P21" s="22"/>
      <c r="Q21" s="43">
        <f t="shared" si="3"/>
        <v>0</v>
      </c>
      <c r="R21" s="43">
        <f t="shared" ca="1" si="4"/>
        <v>0</v>
      </c>
      <c r="S21" s="22"/>
      <c r="T21" s="24">
        <v>45083</v>
      </c>
      <c r="U21" s="29"/>
    </row>
    <row r="22" spans="1:21" x14ac:dyDescent="0.3">
      <c r="A22" s="13">
        <v>19</v>
      </c>
      <c r="B22" s="4" t="s">
        <v>699</v>
      </c>
      <c r="C22" s="39">
        <f t="shared" ca="1" si="0"/>
        <v>0</v>
      </c>
      <c r="D22" s="5" t="s">
        <v>36</v>
      </c>
      <c r="E22" s="5" t="s">
        <v>16</v>
      </c>
      <c r="F22" s="7" t="s">
        <v>79</v>
      </c>
      <c r="G22" s="6" t="s">
        <v>681</v>
      </c>
      <c r="H22" s="2" t="s">
        <v>681</v>
      </c>
      <c r="I22" s="6">
        <v>730</v>
      </c>
      <c r="J22" s="4">
        <v>30</v>
      </c>
      <c r="K22" s="48"/>
      <c r="L22" s="45">
        <f t="shared" si="2"/>
        <v>45813</v>
      </c>
      <c r="M22" s="46">
        <f t="shared" si="1"/>
        <v>45813</v>
      </c>
      <c r="O22" s="35"/>
      <c r="P22" s="22"/>
      <c r="Q22" s="43">
        <f t="shared" si="3"/>
        <v>0</v>
      </c>
      <c r="R22" s="43">
        <f t="shared" ca="1" si="4"/>
        <v>0</v>
      </c>
      <c r="S22" s="22"/>
      <c r="T22" s="24">
        <v>45083</v>
      </c>
      <c r="U22" s="29"/>
    </row>
    <row r="23" spans="1:21" x14ac:dyDescent="0.3">
      <c r="A23" s="13">
        <v>20</v>
      </c>
      <c r="B23" s="4" t="s">
        <v>700</v>
      </c>
      <c r="C23" s="39">
        <f t="shared" ca="1" si="0"/>
        <v>0</v>
      </c>
      <c r="D23" s="5" t="s">
        <v>39</v>
      </c>
      <c r="E23" s="5" t="s">
        <v>221</v>
      </c>
      <c r="F23" s="7" t="s">
        <v>79</v>
      </c>
      <c r="G23" s="6" t="s">
        <v>681</v>
      </c>
      <c r="H23" s="2" t="s">
        <v>681</v>
      </c>
      <c r="I23" s="6">
        <v>730</v>
      </c>
      <c r="J23" s="4">
        <v>30</v>
      </c>
      <c r="K23" s="48"/>
      <c r="L23" s="45">
        <f t="shared" si="2"/>
        <v>45813</v>
      </c>
      <c r="M23" s="46">
        <f t="shared" si="1"/>
        <v>45813</v>
      </c>
      <c r="O23" s="35"/>
      <c r="P23" s="22"/>
      <c r="Q23" s="43">
        <f t="shared" si="3"/>
        <v>0</v>
      </c>
      <c r="R23" s="43">
        <f t="shared" ca="1" si="4"/>
        <v>0</v>
      </c>
      <c r="S23" s="22"/>
      <c r="T23" s="24">
        <v>45083</v>
      </c>
      <c r="U23" s="29"/>
    </row>
    <row r="24" spans="1:21" x14ac:dyDescent="0.3">
      <c r="A24" s="13">
        <v>21</v>
      </c>
      <c r="B24" s="4" t="s">
        <v>700</v>
      </c>
      <c r="C24" s="39">
        <f t="shared" ca="1" si="0"/>
        <v>0</v>
      </c>
      <c r="D24" s="5" t="s">
        <v>39</v>
      </c>
      <c r="E24" s="5" t="s">
        <v>11</v>
      </c>
      <c r="F24" s="7" t="s">
        <v>79</v>
      </c>
      <c r="G24" s="6" t="s">
        <v>681</v>
      </c>
      <c r="H24" s="2" t="s">
        <v>681</v>
      </c>
      <c r="I24" s="1">
        <v>730</v>
      </c>
      <c r="J24" s="4">
        <v>100</v>
      </c>
      <c r="K24" s="48"/>
      <c r="L24" s="45">
        <f t="shared" si="2"/>
        <v>45813</v>
      </c>
      <c r="M24" s="46">
        <f t="shared" si="1"/>
        <v>45813</v>
      </c>
      <c r="O24" s="35"/>
      <c r="P24" s="22"/>
      <c r="Q24" s="43">
        <f t="shared" si="3"/>
        <v>0</v>
      </c>
      <c r="R24" s="43">
        <f t="shared" ca="1" si="4"/>
        <v>0</v>
      </c>
      <c r="S24" s="22"/>
      <c r="T24" s="24">
        <v>45083</v>
      </c>
      <c r="U24" s="29"/>
    </row>
    <row r="25" spans="1:21" x14ac:dyDescent="0.3">
      <c r="A25" s="13">
        <v>22</v>
      </c>
      <c r="B25" s="4" t="s">
        <v>700</v>
      </c>
      <c r="C25" s="39">
        <f t="shared" ca="1" si="0"/>
        <v>0</v>
      </c>
      <c r="D25" s="5" t="s">
        <v>39</v>
      </c>
      <c r="E25" s="5" t="s">
        <v>12</v>
      </c>
      <c r="F25" s="7" t="s">
        <v>79</v>
      </c>
      <c r="G25" s="6" t="s">
        <v>681</v>
      </c>
      <c r="H25" s="2" t="s">
        <v>681</v>
      </c>
      <c r="I25" s="6">
        <v>730</v>
      </c>
      <c r="J25" s="4">
        <v>120</v>
      </c>
      <c r="K25" s="48"/>
      <c r="L25" s="45">
        <f t="shared" si="2"/>
        <v>45813</v>
      </c>
      <c r="M25" s="46">
        <f t="shared" si="1"/>
        <v>45813</v>
      </c>
      <c r="O25" s="35"/>
      <c r="P25" s="22"/>
      <c r="Q25" s="43">
        <f t="shared" si="3"/>
        <v>0</v>
      </c>
      <c r="R25" s="43">
        <f t="shared" ca="1" si="4"/>
        <v>0</v>
      </c>
      <c r="S25" s="22"/>
      <c r="T25" s="24">
        <v>45083</v>
      </c>
      <c r="U25" s="29"/>
    </row>
    <row r="26" spans="1:21" x14ac:dyDescent="0.3">
      <c r="A26" s="13">
        <v>23</v>
      </c>
      <c r="B26" s="4" t="s">
        <v>700</v>
      </c>
      <c r="C26" s="39">
        <f t="shared" ca="1" si="0"/>
        <v>1</v>
      </c>
      <c r="D26" s="5" t="s">
        <v>108</v>
      </c>
      <c r="E26" s="5" t="s">
        <v>144</v>
      </c>
      <c r="F26" s="7" t="s">
        <v>79</v>
      </c>
      <c r="G26" s="6" t="s">
        <v>681</v>
      </c>
      <c r="H26" s="2" t="s">
        <v>681</v>
      </c>
      <c r="I26" s="6">
        <v>730</v>
      </c>
      <c r="J26" s="4">
        <v>180</v>
      </c>
      <c r="K26" s="48"/>
      <c r="L26" s="45">
        <f t="shared" si="2"/>
        <v>45084</v>
      </c>
      <c r="M26" s="46">
        <f t="shared" si="1"/>
        <v>45821</v>
      </c>
      <c r="N26" s="50">
        <v>45084</v>
      </c>
      <c r="O26" s="35"/>
      <c r="P26" s="22"/>
      <c r="Q26" s="43">
        <f t="shared" si="3"/>
        <v>0</v>
      </c>
      <c r="R26" s="43">
        <f t="shared" ca="1" si="4"/>
        <v>0</v>
      </c>
      <c r="S26" s="22"/>
      <c r="T26" s="24">
        <v>45091</v>
      </c>
      <c r="U26" s="29"/>
    </row>
    <row r="27" spans="1:21" x14ac:dyDescent="0.3">
      <c r="A27" s="13">
        <v>24</v>
      </c>
      <c r="B27" s="4" t="s">
        <v>700</v>
      </c>
      <c r="C27" s="39">
        <f t="shared" ca="1" si="0"/>
        <v>0</v>
      </c>
      <c r="D27" s="5" t="s">
        <v>108</v>
      </c>
      <c r="E27" s="5" t="s">
        <v>145</v>
      </c>
      <c r="F27" s="7" t="s">
        <v>79</v>
      </c>
      <c r="G27" s="6" t="s">
        <v>681</v>
      </c>
      <c r="H27" s="2" t="s">
        <v>681</v>
      </c>
      <c r="I27" s="6">
        <v>1000</v>
      </c>
      <c r="J27" s="4">
        <v>30</v>
      </c>
      <c r="K27" s="48"/>
      <c r="L27" s="45">
        <f t="shared" si="2"/>
        <v>46083</v>
      </c>
      <c r="M27" s="46">
        <f t="shared" si="1"/>
        <v>46083</v>
      </c>
      <c r="O27" s="35"/>
      <c r="P27" s="22"/>
      <c r="Q27" s="43">
        <f t="shared" si="3"/>
        <v>0</v>
      </c>
      <c r="R27" s="43">
        <f t="shared" ca="1" si="4"/>
        <v>0</v>
      </c>
      <c r="S27" s="22"/>
      <c r="T27" s="24">
        <v>45083</v>
      </c>
      <c r="U27" s="29"/>
    </row>
    <row r="28" spans="1:21" x14ac:dyDescent="0.3">
      <c r="A28" s="13">
        <v>25</v>
      </c>
      <c r="B28" s="4" t="s">
        <v>701</v>
      </c>
      <c r="C28" s="39">
        <f t="shared" ca="1" si="0"/>
        <v>0</v>
      </c>
      <c r="D28" s="5" t="s">
        <v>109</v>
      </c>
      <c r="E28" s="5" t="s">
        <v>221</v>
      </c>
      <c r="F28" s="7" t="s">
        <v>79</v>
      </c>
      <c r="G28" s="6" t="s">
        <v>681</v>
      </c>
      <c r="H28" s="2" t="s">
        <v>681</v>
      </c>
      <c r="I28" s="6">
        <v>730</v>
      </c>
      <c r="J28" s="4">
        <v>30</v>
      </c>
      <c r="K28" s="48"/>
      <c r="L28" s="45">
        <f t="shared" si="2"/>
        <v>45813</v>
      </c>
      <c r="M28" s="46">
        <f t="shared" si="1"/>
        <v>45813</v>
      </c>
      <c r="O28" s="35"/>
      <c r="P28" s="22"/>
      <c r="Q28" s="43">
        <f t="shared" si="3"/>
        <v>0</v>
      </c>
      <c r="R28" s="43">
        <f t="shared" ca="1" si="4"/>
        <v>0</v>
      </c>
      <c r="S28" s="22"/>
      <c r="T28" s="24">
        <v>45083</v>
      </c>
      <c r="U28" s="29"/>
    </row>
    <row r="29" spans="1:21" x14ac:dyDescent="0.3">
      <c r="A29" s="13">
        <v>26</v>
      </c>
      <c r="B29" s="4" t="s">
        <v>701</v>
      </c>
      <c r="C29" s="39">
        <f t="shared" ca="1" si="0"/>
        <v>0</v>
      </c>
      <c r="D29" s="5" t="s">
        <v>109</v>
      </c>
      <c r="E29" s="5" t="s">
        <v>11</v>
      </c>
      <c r="F29" s="7" t="s">
        <v>79</v>
      </c>
      <c r="G29" s="6" t="s">
        <v>681</v>
      </c>
      <c r="H29" s="2" t="s">
        <v>681</v>
      </c>
      <c r="I29" s="1">
        <v>730</v>
      </c>
      <c r="J29" s="4">
        <v>100</v>
      </c>
      <c r="K29" s="48"/>
      <c r="L29" s="45">
        <f t="shared" si="2"/>
        <v>45813</v>
      </c>
      <c r="M29" s="46">
        <f t="shared" si="1"/>
        <v>45813</v>
      </c>
      <c r="O29" s="35"/>
      <c r="P29" s="22"/>
      <c r="Q29" s="43">
        <f t="shared" si="3"/>
        <v>0</v>
      </c>
      <c r="R29" s="43">
        <f t="shared" ca="1" si="4"/>
        <v>0</v>
      </c>
      <c r="S29" s="22"/>
      <c r="T29" s="24">
        <v>45083</v>
      </c>
      <c r="U29" s="29"/>
    </row>
    <row r="30" spans="1:21" x14ac:dyDescent="0.3">
      <c r="A30" s="13">
        <v>27</v>
      </c>
      <c r="B30" s="4" t="s">
        <v>701</v>
      </c>
      <c r="C30" s="39">
        <f t="shared" ca="1" si="0"/>
        <v>0</v>
      </c>
      <c r="D30" s="5" t="s">
        <v>109</v>
      </c>
      <c r="E30" s="5" t="s">
        <v>12</v>
      </c>
      <c r="F30" s="7" t="s">
        <v>79</v>
      </c>
      <c r="G30" s="6" t="s">
        <v>681</v>
      </c>
      <c r="H30" s="2" t="s">
        <v>681</v>
      </c>
      <c r="I30" s="6">
        <v>730</v>
      </c>
      <c r="J30" s="4">
        <v>120</v>
      </c>
      <c r="K30" s="48"/>
      <c r="L30" s="45">
        <f t="shared" si="2"/>
        <v>45813</v>
      </c>
      <c r="M30" s="46">
        <f t="shared" si="1"/>
        <v>45813</v>
      </c>
      <c r="O30" s="35"/>
      <c r="P30" s="22"/>
      <c r="Q30" s="43">
        <f t="shared" si="3"/>
        <v>0</v>
      </c>
      <c r="R30" s="43">
        <f t="shared" ca="1" si="4"/>
        <v>0</v>
      </c>
      <c r="S30" s="22"/>
      <c r="T30" s="24">
        <v>45083</v>
      </c>
      <c r="U30" s="29"/>
    </row>
    <row r="31" spans="1:21" x14ac:dyDescent="0.3">
      <c r="A31" s="13">
        <v>28</v>
      </c>
      <c r="B31" s="4" t="s">
        <v>701</v>
      </c>
      <c r="C31" s="39">
        <f t="shared" ca="1" si="0"/>
        <v>0</v>
      </c>
      <c r="D31" s="5" t="s">
        <v>110</v>
      </c>
      <c r="E31" s="5" t="s">
        <v>221</v>
      </c>
      <c r="F31" s="7" t="s">
        <v>79</v>
      </c>
      <c r="G31" s="6" t="s">
        <v>681</v>
      </c>
      <c r="H31" s="2" t="s">
        <v>681</v>
      </c>
      <c r="I31" s="6">
        <v>730</v>
      </c>
      <c r="J31" s="4">
        <v>30</v>
      </c>
      <c r="K31" s="48"/>
      <c r="L31" s="45">
        <f t="shared" si="2"/>
        <v>45813</v>
      </c>
      <c r="M31" s="46">
        <f t="shared" si="1"/>
        <v>45813</v>
      </c>
      <c r="O31" s="35"/>
      <c r="P31" s="22"/>
      <c r="Q31" s="43">
        <f t="shared" si="3"/>
        <v>0</v>
      </c>
      <c r="R31" s="43">
        <f t="shared" ca="1" si="4"/>
        <v>0</v>
      </c>
      <c r="S31" s="22"/>
      <c r="T31" s="24">
        <v>45083</v>
      </c>
      <c r="U31" s="29"/>
    </row>
    <row r="32" spans="1:21" x14ac:dyDescent="0.3">
      <c r="A32" s="13">
        <v>29</v>
      </c>
      <c r="B32" s="4" t="s">
        <v>701</v>
      </c>
      <c r="C32" s="39">
        <f t="shared" ca="1" si="0"/>
        <v>0</v>
      </c>
      <c r="D32" s="5" t="s">
        <v>110</v>
      </c>
      <c r="E32" s="5" t="s">
        <v>11</v>
      </c>
      <c r="F32" s="7" t="s">
        <v>79</v>
      </c>
      <c r="G32" s="6" t="s">
        <v>681</v>
      </c>
      <c r="H32" s="2" t="s">
        <v>681</v>
      </c>
      <c r="I32" s="1">
        <v>730</v>
      </c>
      <c r="J32" s="4">
        <v>100</v>
      </c>
      <c r="K32" s="48"/>
      <c r="L32" s="45">
        <f t="shared" si="2"/>
        <v>45813</v>
      </c>
      <c r="M32" s="46">
        <f t="shared" si="1"/>
        <v>45813</v>
      </c>
      <c r="O32" s="35"/>
      <c r="P32" s="22"/>
      <c r="Q32" s="43">
        <f t="shared" si="3"/>
        <v>0</v>
      </c>
      <c r="R32" s="43">
        <f t="shared" ca="1" si="4"/>
        <v>0</v>
      </c>
      <c r="S32" s="22"/>
      <c r="T32" s="24">
        <v>45083</v>
      </c>
      <c r="U32" s="29"/>
    </row>
    <row r="33" spans="1:21" x14ac:dyDescent="0.3">
      <c r="A33" s="13">
        <v>30</v>
      </c>
      <c r="B33" s="4" t="s">
        <v>701</v>
      </c>
      <c r="C33" s="39">
        <f t="shared" ca="1" si="0"/>
        <v>0</v>
      </c>
      <c r="D33" s="5" t="s">
        <v>110</v>
      </c>
      <c r="E33" s="5" t="s">
        <v>12</v>
      </c>
      <c r="F33" s="7" t="s">
        <v>79</v>
      </c>
      <c r="G33" s="6" t="s">
        <v>681</v>
      </c>
      <c r="H33" s="2" t="s">
        <v>681</v>
      </c>
      <c r="I33" s="6">
        <v>730</v>
      </c>
      <c r="J33" s="4">
        <v>120</v>
      </c>
      <c r="K33" s="48"/>
      <c r="L33" s="45">
        <f t="shared" si="2"/>
        <v>45813</v>
      </c>
      <c r="M33" s="46">
        <f t="shared" ref="M33:M96" si="5">T33+I33</f>
        <v>45813</v>
      </c>
      <c r="O33" s="35"/>
      <c r="P33" s="22"/>
      <c r="Q33" s="43">
        <f t="shared" si="3"/>
        <v>0</v>
      </c>
      <c r="R33" s="43">
        <f t="shared" ca="1" si="4"/>
        <v>0</v>
      </c>
      <c r="S33" s="22"/>
      <c r="T33" s="24">
        <v>45083</v>
      </c>
      <c r="U33" s="29"/>
    </row>
    <row r="34" spans="1:21" x14ac:dyDescent="0.3">
      <c r="A34" s="13">
        <v>31</v>
      </c>
      <c r="B34" s="4" t="s">
        <v>701</v>
      </c>
      <c r="C34" s="39">
        <f t="shared" ca="1" si="0"/>
        <v>1</v>
      </c>
      <c r="D34" s="5" t="s">
        <v>36</v>
      </c>
      <c r="E34" s="5" t="s">
        <v>146</v>
      </c>
      <c r="F34" s="7" t="s">
        <v>79</v>
      </c>
      <c r="G34" s="6" t="s">
        <v>681</v>
      </c>
      <c r="H34" s="2" t="s">
        <v>681</v>
      </c>
      <c r="I34" s="6">
        <v>180</v>
      </c>
      <c r="J34" s="4">
        <v>90</v>
      </c>
      <c r="K34" s="48"/>
      <c r="L34" s="45">
        <f t="shared" si="2"/>
        <v>45084</v>
      </c>
      <c r="M34" s="46">
        <f t="shared" si="5"/>
        <v>45263</v>
      </c>
      <c r="N34" s="50">
        <v>45084</v>
      </c>
      <c r="O34" s="35"/>
      <c r="P34" s="22"/>
      <c r="Q34" s="43">
        <f t="shared" si="3"/>
        <v>0</v>
      </c>
      <c r="R34" s="43">
        <f t="shared" ca="1" si="4"/>
        <v>0</v>
      </c>
      <c r="S34" s="22"/>
      <c r="T34" s="24">
        <v>45083</v>
      </c>
      <c r="U34" s="29"/>
    </row>
    <row r="35" spans="1:21" x14ac:dyDescent="0.3">
      <c r="A35" s="13">
        <v>32</v>
      </c>
      <c r="B35" s="4" t="s">
        <v>701</v>
      </c>
      <c r="C35" s="39">
        <f t="shared" ca="1" si="0"/>
        <v>0</v>
      </c>
      <c r="D35" s="5" t="s">
        <v>36</v>
      </c>
      <c r="E35" s="5" t="s">
        <v>147</v>
      </c>
      <c r="F35" s="7" t="s">
        <v>79</v>
      </c>
      <c r="G35" s="6" t="s">
        <v>681</v>
      </c>
      <c r="H35" s="2" t="s">
        <v>681</v>
      </c>
      <c r="I35" s="6">
        <v>180</v>
      </c>
      <c r="J35" s="4">
        <v>90</v>
      </c>
      <c r="K35" s="48"/>
      <c r="L35" s="45">
        <f t="shared" si="2"/>
        <v>45263</v>
      </c>
      <c r="M35" s="46">
        <f t="shared" si="5"/>
        <v>45263</v>
      </c>
      <c r="O35" s="35"/>
      <c r="P35" s="22"/>
      <c r="Q35" s="43">
        <f t="shared" si="3"/>
        <v>0</v>
      </c>
      <c r="R35" s="43">
        <f t="shared" ca="1" si="4"/>
        <v>0</v>
      </c>
      <c r="S35" s="22"/>
      <c r="T35" s="24">
        <v>45083</v>
      </c>
      <c r="U35" s="29"/>
    </row>
    <row r="36" spans="1:21" x14ac:dyDescent="0.3">
      <c r="A36" s="13">
        <v>33</v>
      </c>
      <c r="B36" s="4" t="s">
        <v>701</v>
      </c>
      <c r="C36" s="39">
        <f t="shared" ca="1" si="0"/>
        <v>0</v>
      </c>
      <c r="D36" s="5" t="s">
        <v>111</v>
      </c>
      <c r="E36" s="5" t="s">
        <v>149</v>
      </c>
      <c r="F36" s="7" t="s">
        <v>79</v>
      </c>
      <c r="G36" s="6" t="s">
        <v>681</v>
      </c>
      <c r="H36" s="2" t="s">
        <v>681</v>
      </c>
      <c r="I36" s="6">
        <v>1000</v>
      </c>
      <c r="J36" s="4">
        <v>20</v>
      </c>
      <c r="K36" s="48"/>
      <c r="L36" s="45">
        <f t="shared" si="2"/>
        <v>46089</v>
      </c>
      <c r="M36" s="46">
        <f t="shared" si="5"/>
        <v>46089</v>
      </c>
      <c r="O36" s="35"/>
      <c r="P36" s="22"/>
      <c r="Q36" s="43">
        <f t="shared" si="3"/>
        <v>0</v>
      </c>
      <c r="R36" s="43">
        <f t="shared" ca="1" si="4"/>
        <v>0</v>
      </c>
      <c r="S36" s="22"/>
      <c r="T36" s="24">
        <v>45089</v>
      </c>
      <c r="U36" s="29"/>
    </row>
    <row r="37" spans="1:21" x14ac:dyDescent="0.3">
      <c r="A37" s="13">
        <v>34</v>
      </c>
      <c r="B37" s="4" t="s">
        <v>701</v>
      </c>
      <c r="C37" s="39">
        <f t="shared" ca="1" si="0"/>
        <v>0</v>
      </c>
      <c r="D37" s="5" t="s">
        <v>111</v>
      </c>
      <c r="E37" s="5" t="s">
        <v>150</v>
      </c>
      <c r="F37" s="7" t="s">
        <v>79</v>
      </c>
      <c r="G37" s="6" t="s">
        <v>681</v>
      </c>
      <c r="H37" s="2" t="s">
        <v>681</v>
      </c>
      <c r="I37" s="6">
        <v>1000</v>
      </c>
      <c r="J37" s="4">
        <v>20</v>
      </c>
      <c r="K37" s="48"/>
      <c r="L37" s="45">
        <f t="shared" si="2"/>
        <v>46083</v>
      </c>
      <c r="M37" s="46">
        <f t="shared" si="5"/>
        <v>46083</v>
      </c>
      <c r="O37" s="35"/>
      <c r="P37" s="22"/>
      <c r="Q37" s="43">
        <f t="shared" si="3"/>
        <v>0</v>
      </c>
      <c r="R37" s="43">
        <f t="shared" ca="1" si="4"/>
        <v>0</v>
      </c>
      <c r="S37" s="22"/>
      <c r="T37" s="24">
        <v>45083</v>
      </c>
      <c r="U37" s="29"/>
    </row>
    <row r="38" spans="1:21" x14ac:dyDescent="0.3">
      <c r="A38" s="13">
        <v>35</v>
      </c>
      <c r="B38" s="4" t="s">
        <v>701</v>
      </c>
      <c r="C38" s="39">
        <f t="shared" ca="1" si="0"/>
        <v>1</v>
      </c>
      <c r="D38" s="5" t="s">
        <v>111</v>
      </c>
      <c r="E38" s="5" t="s">
        <v>151</v>
      </c>
      <c r="F38" s="7" t="s">
        <v>79</v>
      </c>
      <c r="G38" s="6" t="s">
        <v>681</v>
      </c>
      <c r="H38" s="2" t="s">
        <v>681</v>
      </c>
      <c r="I38" s="6">
        <v>1000</v>
      </c>
      <c r="J38" s="4">
        <v>20</v>
      </c>
      <c r="K38" s="48"/>
      <c r="L38" s="45">
        <f t="shared" si="2"/>
        <v>45084</v>
      </c>
      <c r="M38" s="46">
        <f t="shared" si="5"/>
        <v>46083</v>
      </c>
      <c r="N38" s="50">
        <v>45084</v>
      </c>
      <c r="O38" s="35"/>
      <c r="P38" s="22"/>
      <c r="Q38" s="43">
        <f t="shared" si="3"/>
        <v>0</v>
      </c>
      <c r="R38" s="43">
        <f t="shared" ca="1" si="4"/>
        <v>0</v>
      </c>
      <c r="S38" s="22"/>
      <c r="T38" s="24">
        <v>45083</v>
      </c>
      <c r="U38" s="29"/>
    </row>
    <row r="39" spans="1:21" x14ac:dyDescent="0.3">
      <c r="A39" s="13">
        <v>36</v>
      </c>
      <c r="B39" s="4" t="s">
        <v>701</v>
      </c>
      <c r="C39" s="39">
        <f t="shared" ca="1" si="0"/>
        <v>0</v>
      </c>
      <c r="D39" s="5" t="s">
        <v>36</v>
      </c>
      <c r="E39" s="5" t="s">
        <v>153</v>
      </c>
      <c r="F39" s="7" t="s">
        <v>79</v>
      </c>
      <c r="G39" s="6" t="s">
        <v>681</v>
      </c>
      <c r="H39" s="2" t="s">
        <v>681</v>
      </c>
      <c r="I39" s="6">
        <v>180</v>
      </c>
      <c r="J39" s="4">
        <v>60</v>
      </c>
      <c r="K39" s="48"/>
      <c r="L39" s="45">
        <f t="shared" si="2"/>
        <v>45263</v>
      </c>
      <c r="M39" s="46">
        <f t="shared" si="5"/>
        <v>45263</v>
      </c>
      <c r="O39" s="35"/>
      <c r="P39" s="22"/>
      <c r="Q39" s="43">
        <f t="shared" si="3"/>
        <v>0</v>
      </c>
      <c r="R39" s="43">
        <f t="shared" ca="1" si="4"/>
        <v>0</v>
      </c>
      <c r="S39" s="22"/>
      <c r="T39" s="24">
        <v>45083</v>
      </c>
      <c r="U39" s="29"/>
    </row>
    <row r="40" spans="1:21" x14ac:dyDescent="0.3">
      <c r="A40" s="13">
        <v>37</v>
      </c>
      <c r="B40" s="4" t="s">
        <v>701</v>
      </c>
      <c r="C40" s="39">
        <f t="shared" ca="1" si="0"/>
        <v>0</v>
      </c>
      <c r="D40" s="5" t="s">
        <v>36</v>
      </c>
      <c r="E40" s="5" t="s">
        <v>154</v>
      </c>
      <c r="F40" s="7" t="s">
        <v>79</v>
      </c>
      <c r="G40" s="6" t="s">
        <v>681</v>
      </c>
      <c r="H40" s="2" t="s">
        <v>681</v>
      </c>
      <c r="I40" s="6">
        <v>180</v>
      </c>
      <c r="J40" s="4">
        <v>60</v>
      </c>
      <c r="K40" s="48"/>
      <c r="L40" s="45">
        <f t="shared" si="2"/>
        <v>45263</v>
      </c>
      <c r="M40" s="46">
        <f t="shared" si="5"/>
        <v>45263</v>
      </c>
      <c r="O40" s="35"/>
      <c r="P40" s="22"/>
      <c r="Q40" s="43">
        <f t="shared" si="3"/>
        <v>0</v>
      </c>
      <c r="R40" s="43">
        <f t="shared" ca="1" si="4"/>
        <v>0</v>
      </c>
      <c r="S40" s="22"/>
      <c r="T40" s="24">
        <v>45083</v>
      </c>
      <c r="U40" s="29"/>
    </row>
    <row r="41" spans="1:21" x14ac:dyDescent="0.3">
      <c r="A41" s="13">
        <v>38</v>
      </c>
      <c r="B41" s="4" t="s">
        <v>701</v>
      </c>
      <c r="C41" s="39">
        <f t="shared" ca="1" si="0"/>
        <v>0</v>
      </c>
      <c r="D41" s="5" t="s">
        <v>36</v>
      </c>
      <c r="E41" s="5" t="s">
        <v>155</v>
      </c>
      <c r="F41" s="7" t="s">
        <v>79</v>
      </c>
      <c r="G41" s="6" t="s">
        <v>681</v>
      </c>
      <c r="H41" s="2" t="s">
        <v>681</v>
      </c>
      <c r="I41" s="6">
        <v>180</v>
      </c>
      <c r="J41" s="4">
        <v>45</v>
      </c>
      <c r="K41" s="48"/>
      <c r="L41" s="45">
        <f t="shared" si="2"/>
        <v>45263</v>
      </c>
      <c r="M41" s="46">
        <f t="shared" si="5"/>
        <v>45263</v>
      </c>
      <c r="O41" s="35"/>
      <c r="P41" s="22"/>
      <c r="Q41" s="43">
        <f t="shared" si="3"/>
        <v>0</v>
      </c>
      <c r="R41" s="43">
        <f t="shared" ca="1" si="4"/>
        <v>0</v>
      </c>
      <c r="S41" s="22"/>
      <c r="T41" s="24">
        <v>45083</v>
      </c>
      <c r="U41" s="29"/>
    </row>
    <row r="42" spans="1:21" x14ac:dyDescent="0.3">
      <c r="A42" s="13">
        <v>39</v>
      </c>
      <c r="B42" s="4" t="s">
        <v>701</v>
      </c>
      <c r="C42" s="39">
        <f t="shared" ca="1" si="0"/>
        <v>0</v>
      </c>
      <c r="D42" s="5" t="s">
        <v>36</v>
      </c>
      <c r="E42" s="5" t="s">
        <v>156</v>
      </c>
      <c r="F42" s="7" t="s">
        <v>79</v>
      </c>
      <c r="G42" s="6" t="s">
        <v>681</v>
      </c>
      <c r="H42" s="2" t="s">
        <v>681</v>
      </c>
      <c r="I42" s="6">
        <v>180</v>
      </c>
      <c r="J42" s="4">
        <v>45</v>
      </c>
      <c r="K42" s="48"/>
      <c r="L42" s="45">
        <f t="shared" si="2"/>
        <v>45263</v>
      </c>
      <c r="M42" s="46">
        <f t="shared" si="5"/>
        <v>45263</v>
      </c>
      <c r="O42" s="35"/>
      <c r="P42" s="22"/>
      <c r="Q42" s="43">
        <f t="shared" si="3"/>
        <v>0</v>
      </c>
      <c r="R42" s="43">
        <f t="shared" ca="1" si="4"/>
        <v>0</v>
      </c>
      <c r="S42" s="22"/>
      <c r="T42" s="24">
        <v>45083</v>
      </c>
      <c r="U42" s="29"/>
    </row>
    <row r="43" spans="1:21" x14ac:dyDescent="0.3">
      <c r="A43" s="13">
        <v>40</v>
      </c>
      <c r="B43" s="4" t="s">
        <v>701</v>
      </c>
      <c r="C43" s="39">
        <f t="shared" ca="1" si="0"/>
        <v>0</v>
      </c>
      <c r="D43" s="5" t="s">
        <v>36</v>
      </c>
      <c r="E43" s="5" t="s">
        <v>157</v>
      </c>
      <c r="F43" s="7" t="s">
        <v>79</v>
      </c>
      <c r="G43" s="6" t="s">
        <v>681</v>
      </c>
      <c r="H43" s="2" t="s">
        <v>681</v>
      </c>
      <c r="I43" s="6">
        <v>180</v>
      </c>
      <c r="J43" s="4">
        <v>60</v>
      </c>
      <c r="K43" s="48"/>
      <c r="L43" s="45">
        <f t="shared" si="2"/>
        <v>45263</v>
      </c>
      <c r="M43" s="46">
        <f t="shared" si="5"/>
        <v>45263</v>
      </c>
      <c r="O43" s="35"/>
      <c r="P43" s="22"/>
      <c r="Q43" s="43">
        <f t="shared" si="3"/>
        <v>0</v>
      </c>
      <c r="R43" s="43">
        <f t="shared" ca="1" si="4"/>
        <v>0</v>
      </c>
      <c r="S43" s="22"/>
      <c r="T43" s="24">
        <v>45083</v>
      </c>
      <c r="U43" s="29"/>
    </row>
    <row r="44" spans="1:21" x14ac:dyDescent="0.3">
      <c r="A44" s="13">
        <v>41</v>
      </c>
      <c r="B44" s="4" t="s">
        <v>701</v>
      </c>
      <c r="C44" s="39">
        <f t="shared" ca="1" si="0"/>
        <v>0</v>
      </c>
      <c r="D44" s="5" t="s">
        <v>36</v>
      </c>
      <c r="E44" s="5" t="s">
        <v>158</v>
      </c>
      <c r="F44" s="7" t="s">
        <v>79</v>
      </c>
      <c r="G44" s="6" t="s">
        <v>681</v>
      </c>
      <c r="H44" s="2" t="s">
        <v>681</v>
      </c>
      <c r="I44" s="6">
        <v>180</v>
      </c>
      <c r="J44" s="4">
        <v>60</v>
      </c>
      <c r="K44" s="48"/>
      <c r="L44" s="45">
        <f t="shared" si="2"/>
        <v>45263</v>
      </c>
      <c r="M44" s="46">
        <f t="shared" si="5"/>
        <v>45263</v>
      </c>
      <c r="O44" s="35"/>
      <c r="P44" s="22"/>
      <c r="Q44" s="43">
        <f t="shared" si="3"/>
        <v>0</v>
      </c>
      <c r="R44" s="43">
        <f t="shared" ca="1" si="4"/>
        <v>0</v>
      </c>
      <c r="S44" s="22"/>
      <c r="T44" s="24">
        <v>45083</v>
      </c>
      <c r="U44" s="29"/>
    </row>
    <row r="45" spans="1:21" x14ac:dyDescent="0.3">
      <c r="A45" s="13">
        <v>42</v>
      </c>
      <c r="B45" s="4" t="s">
        <v>701</v>
      </c>
      <c r="C45" s="39">
        <f t="shared" ca="1" si="0"/>
        <v>1</v>
      </c>
      <c r="D45" s="5" t="s">
        <v>36</v>
      </c>
      <c r="E45" s="5" t="s">
        <v>159</v>
      </c>
      <c r="F45" s="7" t="s">
        <v>79</v>
      </c>
      <c r="G45" s="6" t="s">
        <v>681</v>
      </c>
      <c r="H45" s="2" t="s">
        <v>681</v>
      </c>
      <c r="I45" s="6">
        <v>180</v>
      </c>
      <c r="J45" s="4">
        <v>90</v>
      </c>
      <c r="K45" s="48"/>
      <c r="L45" s="45">
        <f t="shared" si="2"/>
        <v>45084</v>
      </c>
      <c r="M45" s="46">
        <f t="shared" si="5"/>
        <v>45263</v>
      </c>
      <c r="N45" s="50">
        <v>45084</v>
      </c>
      <c r="O45" s="35"/>
      <c r="P45" s="22"/>
      <c r="Q45" s="43">
        <f t="shared" si="3"/>
        <v>0</v>
      </c>
      <c r="R45" s="43">
        <f t="shared" ca="1" si="4"/>
        <v>0</v>
      </c>
      <c r="S45" s="22"/>
      <c r="T45" s="24">
        <v>45083</v>
      </c>
      <c r="U45" s="29"/>
    </row>
    <row r="46" spans="1:21" x14ac:dyDescent="0.3">
      <c r="A46" s="13">
        <v>43</v>
      </c>
      <c r="B46" s="4" t="s">
        <v>702</v>
      </c>
      <c r="C46" s="39">
        <f t="shared" ca="1" si="0"/>
        <v>0</v>
      </c>
      <c r="D46" s="5" t="s">
        <v>37</v>
      </c>
      <c r="E46" s="5" t="s">
        <v>682</v>
      </c>
      <c r="F46" s="7" t="s">
        <v>79</v>
      </c>
      <c r="G46" s="6" t="s">
        <v>681</v>
      </c>
      <c r="H46" s="2" t="s">
        <v>681</v>
      </c>
      <c r="I46" s="6">
        <v>90</v>
      </c>
      <c r="J46" s="4">
        <v>10</v>
      </c>
      <c r="K46" s="48"/>
      <c r="L46" s="45">
        <f t="shared" si="2"/>
        <v>45173</v>
      </c>
      <c r="M46" s="46">
        <f t="shared" si="5"/>
        <v>45173</v>
      </c>
      <c r="O46" s="35"/>
      <c r="P46" s="22"/>
      <c r="Q46" s="43">
        <f t="shared" si="3"/>
        <v>0</v>
      </c>
      <c r="R46" s="43">
        <f t="shared" ca="1" si="4"/>
        <v>0</v>
      </c>
      <c r="S46" s="22"/>
      <c r="T46" s="24">
        <v>45083</v>
      </c>
      <c r="U46" s="29"/>
    </row>
    <row r="47" spans="1:21" x14ac:dyDescent="0.3">
      <c r="A47" s="13">
        <v>44</v>
      </c>
      <c r="B47" s="4" t="s">
        <v>702</v>
      </c>
      <c r="C47" s="39">
        <f t="shared" ca="1" si="0"/>
        <v>0</v>
      </c>
      <c r="D47" s="5" t="s">
        <v>112</v>
      </c>
      <c r="E47" s="5" t="s">
        <v>161</v>
      </c>
      <c r="F47" s="7" t="s">
        <v>79</v>
      </c>
      <c r="G47" s="6" t="s">
        <v>681</v>
      </c>
      <c r="H47" s="2" t="s">
        <v>681</v>
      </c>
      <c r="I47" s="6">
        <v>90</v>
      </c>
      <c r="J47" s="4">
        <v>30</v>
      </c>
      <c r="K47" s="48"/>
      <c r="L47" s="45">
        <f t="shared" si="2"/>
        <v>45173</v>
      </c>
      <c r="M47" s="46">
        <f t="shared" si="5"/>
        <v>45173</v>
      </c>
      <c r="O47" s="35"/>
      <c r="P47" s="22"/>
      <c r="Q47" s="43">
        <f t="shared" si="3"/>
        <v>0</v>
      </c>
      <c r="R47" s="43">
        <f t="shared" ca="1" si="4"/>
        <v>0</v>
      </c>
      <c r="S47" s="22"/>
      <c r="T47" s="24">
        <v>45083</v>
      </c>
      <c r="U47" s="29"/>
    </row>
    <row r="48" spans="1:21" x14ac:dyDescent="0.3">
      <c r="A48" s="13">
        <v>45</v>
      </c>
      <c r="B48" s="4" t="s">
        <v>702</v>
      </c>
      <c r="C48" s="39">
        <f t="shared" ca="1" si="0"/>
        <v>0</v>
      </c>
      <c r="D48" s="5" t="s">
        <v>113</v>
      </c>
      <c r="E48" s="5" t="s">
        <v>221</v>
      </c>
      <c r="F48" s="7" t="s">
        <v>79</v>
      </c>
      <c r="G48" s="6" t="s">
        <v>681</v>
      </c>
      <c r="H48" s="2" t="s">
        <v>681</v>
      </c>
      <c r="I48" s="6">
        <v>180</v>
      </c>
      <c r="J48" s="4">
        <v>30</v>
      </c>
      <c r="K48" s="48"/>
      <c r="L48" s="45">
        <f t="shared" si="2"/>
        <v>45263</v>
      </c>
      <c r="M48" s="46">
        <f t="shared" si="5"/>
        <v>45263</v>
      </c>
      <c r="O48" s="35"/>
      <c r="P48" s="22"/>
      <c r="Q48" s="43">
        <f t="shared" si="3"/>
        <v>0</v>
      </c>
      <c r="R48" s="43">
        <f t="shared" ca="1" si="4"/>
        <v>0</v>
      </c>
      <c r="S48" s="22"/>
      <c r="T48" s="24">
        <v>45083</v>
      </c>
      <c r="U48" s="29"/>
    </row>
    <row r="49" spans="1:173" x14ac:dyDescent="0.3">
      <c r="A49" s="13">
        <v>46</v>
      </c>
      <c r="B49" s="4" t="s">
        <v>702</v>
      </c>
      <c r="C49" s="39">
        <f t="shared" ca="1" si="0"/>
        <v>1</v>
      </c>
      <c r="D49" s="5" t="s">
        <v>113</v>
      </c>
      <c r="E49" s="5" t="s">
        <v>11</v>
      </c>
      <c r="F49" s="7" t="s">
        <v>79</v>
      </c>
      <c r="G49" s="6" t="s">
        <v>681</v>
      </c>
      <c r="H49" s="2" t="s">
        <v>681</v>
      </c>
      <c r="I49" s="1">
        <v>730</v>
      </c>
      <c r="J49" s="4">
        <v>100</v>
      </c>
      <c r="K49" s="48"/>
      <c r="L49" s="45">
        <f t="shared" si="2"/>
        <v>45084</v>
      </c>
      <c r="M49" s="46">
        <f t="shared" si="5"/>
        <v>45813</v>
      </c>
      <c r="N49" s="50">
        <v>45084</v>
      </c>
      <c r="O49" s="35"/>
      <c r="P49" s="22"/>
      <c r="Q49" s="43">
        <f t="shared" si="3"/>
        <v>0</v>
      </c>
      <c r="R49" s="43">
        <f t="shared" ca="1" si="4"/>
        <v>0</v>
      </c>
      <c r="S49" s="22"/>
      <c r="T49" s="24">
        <v>45083</v>
      </c>
      <c r="U49" s="29"/>
    </row>
    <row r="50" spans="1:173" x14ac:dyDescent="0.3">
      <c r="A50" s="13">
        <v>47</v>
      </c>
      <c r="B50" s="4" t="s">
        <v>703</v>
      </c>
      <c r="C50" s="39">
        <f t="shared" ca="1" si="0"/>
        <v>0</v>
      </c>
      <c r="D50" s="5" t="s">
        <v>114</v>
      </c>
      <c r="E50" t="s">
        <v>180</v>
      </c>
      <c r="F50" s="7" t="s">
        <v>79</v>
      </c>
      <c r="G50" s="6" t="s">
        <v>681</v>
      </c>
      <c r="H50" s="2" t="s">
        <v>681</v>
      </c>
      <c r="I50" s="6">
        <v>180</v>
      </c>
      <c r="J50" s="4">
        <v>15</v>
      </c>
      <c r="K50" s="48"/>
      <c r="L50" s="45">
        <f t="shared" si="2"/>
        <v>45263</v>
      </c>
      <c r="M50" s="46">
        <f t="shared" si="5"/>
        <v>45263</v>
      </c>
      <c r="O50" s="35"/>
      <c r="P50" s="22"/>
      <c r="Q50" s="43">
        <f t="shared" si="3"/>
        <v>0</v>
      </c>
      <c r="R50" s="43">
        <f t="shared" ca="1" si="4"/>
        <v>0</v>
      </c>
      <c r="S50" s="22"/>
      <c r="T50" s="24">
        <v>45083</v>
      </c>
      <c r="U50" s="29"/>
    </row>
    <row r="51" spans="1:173" x14ac:dyDescent="0.3">
      <c r="A51" s="13">
        <v>48</v>
      </c>
      <c r="B51" s="4" t="s">
        <v>703</v>
      </c>
      <c r="C51" s="39">
        <f t="shared" ca="1" si="0"/>
        <v>0</v>
      </c>
      <c r="D51" s="5" t="s">
        <v>37</v>
      </c>
      <c r="E51" s="5" t="s">
        <v>160</v>
      </c>
      <c r="F51" s="7" t="s">
        <v>79</v>
      </c>
      <c r="G51" s="6" t="s">
        <v>681</v>
      </c>
      <c r="H51" s="2" t="s">
        <v>681</v>
      </c>
      <c r="I51" s="6">
        <v>90</v>
      </c>
      <c r="J51" s="4">
        <v>10</v>
      </c>
      <c r="K51" s="48"/>
      <c r="L51" s="45">
        <f t="shared" si="2"/>
        <v>45173</v>
      </c>
      <c r="M51" s="46">
        <f t="shared" si="5"/>
        <v>45173</v>
      </c>
      <c r="O51" s="35"/>
      <c r="P51" s="22"/>
      <c r="Q51" s="43">
        <f t="shared" si="3"/>
        <v>0</v>
      </c>
      <c r="R51" s="43">
        <f t="shared" ca="1" si="4"/>
        <v>0</v>
      </c>
      <c r="S51" s="22"/>
      <c r="T51" s="24">
        <v>45083</v>
      </c>
      <c r="U51" s="29"/>
    </row>
    <row r="52" spans="1:173" x14ac:dyDescent="0.3">
      <c r="A52" s="13">
        <v>49</v>
      </c>
      <c r="B52" s="4" t="s">
        <v>703</v>
      </c>
      <c r="C52" s="39">
        <f t="shared" ca="1" si="0"/>
        <v>0</v>
      </c>
      <c r="D52" s="5" t="s">
        <v>36</v>
      </c>
      <c r="E52" s="5" t="s">
        <v>162</v>
      </c>
      <c r="F52" s="7" t="s">
        <v>79</v>
      </c>
      <c r="G52" s="6" t="s">
        <v>681</v>
      </c>
      <c r="H52" s="2" t="s">
        <v>681</v>
      </c>
      <c r="I52" s="6">
        <v>180</v>
      </c>
      <c r="J52" s="4">
        <v>45</v>
      </c>
      <c r="K52" s="48"/>
      <c r="L52" s="45">
        <f t="shared" si="2"/>
        <v>45263</v>
      </c>
      <c r="M52" s="46">
        <f t="shared" si="5"/>
        <v>45263</v>
      </c>
      <c r="O52" s="35"/>
      <c r="P52" s="22"/>
      <c r="Q52" s="43">
        <f t="shared" si="3"/>
        <v>0</v>
      </c>
      <c r="R52" s="43">
        <f t="shared" ca="1" si="4"/>
        <v>0</v>
      </c>
      <c r="S52" s="22"/>
      <c r="T52" s="24">
        <v>45083</v>
      </c>
      <c r="U52" s="29"/>
    </row>
    <row r="53" spans="1:173" x14ac:dyDescent="0.3">
      <c r="A53" s="13">
        <v>50</v>
      </c>
      <c r="B53" s="4" t="s">
        <v>703</v>
      </c>
      <c r="C53" s="39">
        <f t="shared" ca="1" si="0"/>
        <v>0</v>
      </c>
      <c r="D53" s="5" t="s">
        <v>36</v>
      </c>
      <c r="E53" s="5" t="s">
        <v>163</v>
      </c>
      <c r="F53" s="7" t="s">
        <v>79</v>
      </c>
      <c r="G53" s="6" t="s">
        <v>681</v>
      </c>
      <c r="H53" s="2" t="s">
        <v>681</v>
      </c>
      <c r="I53" s="6">
        <v>180</v>
      </c>
      <c r="J53" s="4">
        <v>30</v>
      </c>
      <c r="K53" s="48"/>
      <c r="L53" s="45">
        <f t="shared" si="2"/>
        <v>45263</v>
      </c>
      <c r="M53" s="46">
        <f t="shared" si="5"/>
        <v>45263</v>
      </c>
      <c r="O53" s="35"/>
      <c r="P53" s="22"/>
      <c r="Q53" s="43">
        <f t="shared" si="3"/>
        <v>0</v>
      </c>
      <c r="R53" s="43">
        <f t="shared" ca="1" si="4"/>
        <v>0</v>
      </c>
      <c r="S53" s="22"/>
      <c r="T53" s="24">
        <v>45083</v>
      </c>
      <c r="U53" s="29"/>
    </row>
    <row r="54" spans="1:173" x14ac:dyDescent="0.3">
      <c r="A54" s="13">
        <v>51</v>
      </c>
      <c r="B54" s="4" t="s">
        <v>703</v>
      </c>
      <c r="C54" s="39">
        <f t="shared" ca="1" si="0"/>
        <v>0</v>
      </c>
      <c r="D54" s="5" t="s">
        <v>36</v>
      </c>
      <c r="E54" s="5" t="s">
        <v>164</v>
      </c>
      <c r="F54" s="7" t="s">
        <v>79</v>
      </c>
      <c r="G54" s="6" t="s">
        <v>681</v>
      </c>
      <c r="H54" s="2" t="s">
        <v>681</v>
      </c>
      <c r="I54" s="6">
        <v>180</v>
      </c>
      <c r="J54" s="4">
        <v>45</v>
      </c>
      <c r="K54" s="48">
        <v>23</v>
      </c>
      <c r="L54" s="45">
        <f t="shared" si="2"/>
        <v>45281</v>
      </c>
      <c r="M54" s="46">
        <f t="shared" si="5"/>
        <v>45281</v>
      </c>
      <c r="O54" s="35" t="s">
        <v>807</v>
      </c>
      <c r="P54" s="22" t="s">
        <v>58</v>
      </c>
      <c r="Q54" s="43">
        <f t="shared" si="3"/>
        <v>1</v>
      </c>
      <c r="R54" s="43">
        <f t="shared" ca="1" si="4"/>
        <v>0</v>
      </c>
      <c r="S54" s="22"/>
      <c r="T54" s="24">
        <v>45101</v>
      </c>
      <c r="U54" s="24">
        <v>45083</v>
      </c>
      <c r="V54" s="29"/>
      <c r="FQ54" s="17"/>
    </row>
    <row r="55" spans="1:173" x14ac:dyDescent="0.3">
      <c r="A55" s="13">
        <v>52</v>
      </c>
      <c r="B55" s="4" t="s">
        <v>703</v>
      </c>
      <c r="C55" s="39">
        <f t="shared" ca="1" si="0"/>
        <v>0</v>
      </c>
      <c r="D55" s="14" t="s">
        <v>36</v>
      </c>
      <c r="E55" s="14" t="s">
        <v>165</v>
      </c>
      <c r="F55" s="7" t="s">
        <v>79</v>
      </c>
      <c r="G55" s="6" t="s">
        <v>681</v>
      </c>
      <c r="H55" s="2" t="s">
        <v>681</v>
      </c>
      <c r="I55" s="8">
        <v>180</v>
      </c>
      <c r="J55" s="1">
        <v>30</v>
      </c>
      <c r="K55" s="48"/>
      <c r="L55" s="45">
        <f t="shared" si="2"/>
        <v>45263</v>
      </c>
      <c r="M55" s="46">
        <f t="shared" si="5"/>
        <v>45263</v>
      </c>
      <c r="O55" s="36"/>
      <c r="P55" s="23"/>
      <c r="Q55" s="43">
        <f t="shared" si="3"/>
        <v>0</v>
      </c>
      <c r="R55" s="43">
        <f t="shared" ca="1" si="4"/>
        <v>0</v>
      </c>
      <c r="S55" s="22"/>
      <c r="T55" s="25">
        <v>45083</v>
      </c>
      <c r="U55" s="30"/>
    </row>
    <row r="56" spans="1:173" x14ac:dyDescent="0.3">
      <c r="A56" s="13">
        <v>53</v>
      </c>
      <c r="B56" s="4" t="s">
        <v>703</v>
      </c>
      <c r="C56" s="39">
        <f t="shared" ca="1" si="0"/>
        <v>0</v>
      </c>
      <c r="D56" t="s">
        <v>115</v>
      </c>
      <c r="E56" t="s">
        <v>166</v>
      </c>
      <c r="F56" s="7" t="s">
        <v>79</v>
      </c>
      <c r="G56" s="6" t="s">
        <v>681</v>
      </c>
      <c r="H56" s="2" t="s">
        <v>681</v>
      </c>
      <c r="I56" s="1">
        <v>1000</v>
      </c>
      <c r="J56" s="1">
        <v>180</v>
      </c>
      <c r="L56" s="45">
        <f t="shared" si="2"/>
        <v>46084</v>
      </c>
      <c r="M56" s="46">
        <f t="shared" si="5"/>
        <v>46084</v>
      </c>
      <c r="Q56" s="43">
        <f t="shared" si="3"/>
        <v>0</v>
      </c>
      <c r="R56" s="43">
        <f t="shared" ca="1" si="4"/>
        <v>0</v>
      </c>
      <c r="S56" s="22"/>
      <c r="T56" s="25">
        <v>45084</v>
      </c>
    </row>
    <row r="57" spans="1:173" x14ac:dyDescent="0.3">
      <c r="A57" s="13">
        <v>54</v>
      </c>
      <c r="B57" s="4" t="s">
        <v>703</v>
      </c>
      <c r="C57" s="39">
        <f t="shared" ca="1" si="0"/>
        <v>0</v>
      </c>
      <c r="D57" t="s">
        <v>115</v>
      </c>
      <c r="E57" t="s">
        <v>167</v>
      </c>
      <c r="F57" s="7" t="s">
        <v>79</v>
      </c>
      <c r="G57" s="6" t="s">
        <v>681</v>
      </c>
      <c r="H57" s="2" t="s">
        <v>681</v>
      </c>
      <c r="I57" s="1">
        <v>90</v>
      </c>
      <c r="J57" s="1">
        <v>30</v>
      </c>
      <c r="L57" s="45">
        <f t="shared" si="2"/>
        <v>45175</v>
      </c>
      <c r="M57" s="46">
        <f t="shared" si="5"/>
        <v>45175</v>
      </c>
      <c r="Q57" s="43">
        <f t="shared" si="3"/>
        <v>0</v>
      </c>
      <c r="R57" s="43">
        <f t="shared" ca="1" si="4"/>
        <v>0</v>
      </c>
      <c r="S57" s="22"/>
      <c r="T57" s="25">
        <v>45085</v>
      </c>
    </row>
    <row r="58" spans="1:173" x14ac:dyDescent="0.3">
      <c r="A58" s="13">
        <v>55</v>
      </c>
      <c r="B58" s="4" t="s">
        <v>703</v>
      </c>
      <c r="C58" s="39">
        <f t="shared" ca="1" si="0"/>
        <v>0</v>
      </c>
      <c r="D58" t="s">
        <v>116</v>
      </c>
      <c r="E58" s="5" t="s">
        <v>221</v>
      </c>
      <c r="F58" s="7" t="s">
        <v>79</v>
      </c>
      <c r="G58" s="6" t="s">
        <v>681</v>
      </c>
      <c r="H58" s="2" t="s">
        <v>681</v>
      </c>
      <c r="I58" s="1">
        <v>180</v>
      </c>
      <c r="J58" s="4">
        <v>30</v>
      </c>
      <c r="L58" s="45">
        <f t="shared" si="2"/>
        <v>45266</v>
      </c>
      <c r="M58" s="46">
        <f t="shared" si="5"/>
        <v>45266</v>
      </c>
      <c r="Q58" s="43">
        <f t="shared" si="3"/>
        <v>0</v>
      </c>
      <c r="R58" s="43">
        <f t="shared" ca="1" si="4"/>
        <v>0</v>
      </c>
      <c r="S58" s="22"/>
      <c r="T58" s="25">
        <v>45086</v>
      </c>
    </row>
    <row r="59" spans="1:173" x14ac:dyDescent="0.3">
      <c r="A59" s="13">
        <v>56</v>
      </c>
      <c r="B59" s="4" t="s">
        <v>703</v>
      </c>
      <c r="C59" s="39">
        <f t="shared" ca="1" si="0"/>
        <v>0</v>
      </c>
      <c r="D59" t="s">
        <v>116</v>
      </c>
      <c r="E59" t="s">
        <v>11</v>
      </c>
      <c r="F59" s="7" t="s">
        <v>79</v>
      </c>
      <c r="G59" s="6" t="s">
        <v>681</v>
      </c>
      <c r="H59" s="2" t="s">
        <v>681</v>
      </c>
      <c r="I59" s="1">
        <v>730</v>
      </c>
      <c r="J59" s="4">
        <v>100</v>
      </c>
      <c r="L59" s="45">
        <f t="shared" si="2"/>
        <v>45817</v>
      </c>
      <c r="M59" s="46">
        <f t="shared" si="5"/>
        <v>45817</v>
      </c>
      <c r="Q59" s="43">
        <f t="shared" si="3"/>
        <v>0</v>
      </c>
      <c r="R59" s="43">
        <f t="shared" ca="1" si="4"/>
        <v>0</v>
      </c>
      <c r="S59" s="22"/>
      <c r="T59" s="25">
        <v>45087</v>
      </c>
    </row>
    <row r="60" spans="1:173" x14ac:dyDescent="0.3">
      <c r="A60" s="13">
        <v>57</v>
      </c>
      <c r="B60" s="4" t="s">
        <v>703</v>
      </c>
      <c r="C60" s="39">
        <f t="shared" ca="1" si="0"/>
        <v>0</v>
      </c>
      <c r="D60" t="s">
        <v>116</v>
      </c>
      <c r="E60" t="s">
        <v>12</v>
      </c>
      <c r="F60" s="7" t="s">
        <v>79</v>
      </c>
      <c r="G60" s="6" t="s">
        <v>681</v>
      </c>
      <c r="H60" s="2" t="s">
        <v>681</v>
      </c>
      <c r="I60" s="1">
        <v>730</v>
      </c>
      <c r="J60" s="1">
        <v>120</v>
      </c>
      <c r="L60" s="45">
        <f t="shared" si="2"/>
        <v>45818</v>
      </c>
      <c r="M60" s="46">
        <f t="shared" si="5"/>
        <v>45818</v>
      </c>
      <c r="Q60" s="43">
        <f t="shared" si="3"/>
        <v>0</v>
      </c>
      <c r="R60" s="43">
        <f t="shared" ca="1" si="4"/>
        <v>0</v>
      </c>
      <c r="S60" s="22"/>
      <c r="T60" s="25">
        <v>45088</v>
      </c>
    </row>
    <row r="61" spans="1:173" x14ac:dyDescent="0.3">
      <c r="A61" s="13">
        <v>58</v>
      </c>
      <c r="B61" s="4" t="s">
        <v>703</v>
      </c>
      <c r="C61" s="39">
        <f t="shared" ca="1" si="0"/>
        <v>1</v>
      </c>
      <c r="D61" t="s">
        <v>36</v>
      </c>
      <c r="E61" t="s">
        <v>168</v>
      </c>
      <c r="F61" s="7" t="s">
        <v>79</v>
      </c>
      <c r="G61" s="6" t="s">
        <v>681</v>
      </c>
      <c r="H61" s="2" t="s">
        <v>681</v>
      </c>
      <c r="I61" s="1">
        <v>180</v>
      </c>
      <c r="J61" s="1">
        <v>60</v>
      </c>
      <c r="L61" s="45">
        <f t="shared" si="2"/>
        <v>45084</v>
      </c>
      <c r="M61" s="46">
        <f t="shared" si="5"/>
        <v>45269</v>
      </c>
      <c r="N61" s="50">
        <v>45084</v>
      </c>
      <c r="Q61" s="43">
        <f t="shared" si="3"/>
        <v>0</v>
      </c>
      <c r="R61" s="43">
        <f t="shared" ca="1" si="4"/>
        <v>0</v>
      </c>
      <c r="S61" s="22"/>
      <c r="T61" s="25">
        <v>45089</v>
      </c>
    </row>
    <row r="62" spans="1:173" x14ac:dyDescent="0.3">
      <c r="A62" s="13">
        <v>59</v>
      </c>
      <c r="B62" s="4" t="s">
        <v>703</v>
      </c>
      <c r="C62" s="39">
        <f t="shared" ca="1" si="0"/>
        <v>0</v>
      </c>
      <c r="D62" t="s">
        <v>36</v>
      </c>
      <c r="E62" t="s">
        <v>169</v>
      </c>
      <c r="F62" s="7" t="s">
        <v>79</v>
      </c>
      <c r="G62" s="6" t="s">
        <v>681</v>
      </c>
      <c r="H62" s="2" t="s">
        <v>681</v>
      </c>
      <c r="I62" s="1">
        <v>180</v>
      </c>
      <c r="J62" s="1">
        <v>60</v>
      </c>
      <c r="L62" s="45">
        <f t="shared" si="2"/>
        <v>45270</v>
      </c>
      <c r="M62" s="46">
        <f t="shared" si="5"/>
        <v>45270</v>
      </c>
      <c r="Q62" s="43">
        <f t="shared" si="3"/>
        <v>0</v>
      </c>
      <c r="R62" s="43">
        <f t="shared" ca="1" si="4"/>
        <v>0</v>
      </c>
      <c r="S62" s="22"/>
      <c r="T62" s="25">
        <v>45090</v>
      </c>
    </row>
    <row r="63" spans="1:173" x14ac:dyDescent="0.3">
      <c r="A63" s="13">
        <v>60</v>
      </c>
      <c r="B63" s="4" t="s">
        <v>703</v>
      </c>
      <c r="C63" s="39">
        <f t="shared" ca="1" si="0"/>
        <v>0</v>
      </c>
      <c r="D63" t="s">
        <v>117</v>
      </c>
      <c r="E63" s="5" t="s">
        <v>221</v>
      </c>
      <c r="F63" s="7" t="s">
        <v>79</v>
      </c>
      <c r="G63" s="6" t="s">
        <v>681</v>
      </c>
      <c r="H63" s="2" t="s">
        <v>681</v>
      </c>
      <c r="I63" s="1">
        <v>180</v>
      </c>
      <c r="J63" s="4">
        <v>30</v>
      </c>
      <c r="L63" s="45">
        <f t="shared" si="2"/>
        <v>45271</v>
      </c>
      <c r="M63" s="46">
        <f t="shared" si="5"/>
        <v>45271</v>
      </c>
      <c r="Q63" s="43">
        <f t="shared" si="3"/>
        <v>0</v>
      </c>
      <c r="R63" s="43">
        <f t="shared" ca="1" si="4"/>
        <v>0</v>
      </c>
      <c r="S63" s="22"/>
      <c r="T63" s="25">
        <v>45091</v>
      </c>
    </row>
    <row r="64" spans="1:173" x14ac:dyDescent="0.3">
      <c r="A64" s="13">
        <v>61</v>
      </c>
      <c r="B64" s="4" t="s">
        <v>703</v>
      </c>
      <c r="C64" s="39">
        <f t="shared" ca="1" si="0"/>
        <v>0</v>
      </c>
      <c r="D64" t="s">
        <v>117</v>
      </c>
      <c r="E64" t="s">
        <v>11</v>
      </c>
      <c r="F64" s="7" t="s">
        <v>79</v>
      </c>
      <c r="G64" s="6" t="s">
        <v>681</v>
      </c>
      <c r="H64" s="2" t="s">
        <v>681</v>
      </c>
      <c r="I64" s="1">
        <v>730</v>
      </c>
      <c r="J64" s="4">
        <v>100</v>
      </c>
      <c r="L64" s="45">
        <f t="shared" si="2"/>
        <v>45822</v>
      </c>
      <c r="M64" s="46">
        <f t="shared" si="5"/>
        <v>45822</v>
      </c>
      <c r="Q64" s="43">
        <f t="shared" si="3"/>
        <v>0</v>
      </c>
      <c r="R64" s="43">
        <f t="shared" ca="1" si="4"/>
        <v>0</v>
      </c>
      <c r="S64" s="22"/>
      <c r="T64" s="25">
        <v>45092</v>
      </c>
    </row>
    <row r="65" spans="1:20" x14ac:dyDescent="0.3">
      <c r="A65" s="13">
        <v>62</v>
      </c>
      <c r="B65" s="4" t="s">
        <v>703</v>
      </c>
      <c r="C65" s="39">
        <f t="shared" ca="1" si="0"/>
        <v>0</v>
      </c>
      <c r="D65" t="s">
        <v>117</v>
      </c>
      <c r="E65" t="s">
        <v>12</v>
      </c>
      <c r="F65" s="7" t="s">
        <v>79</v>
      </c>
      <c r="G65" s="6" t="s">
        <v>681</v>
      </c>
      <c r="H65" s="2" t="s">
        <v>681</v>
      </c>
      <c r="I65" s="1">
        <v>730</v>
      </c>
      <c r="J65" s="1">
        <v>120</v>
      </c>
      <c r="L65" s="45">
        <f t="shared" si="2"/>
        <v>45823</v>
      </c>
      <c r="M65" s="46">
        <f t="shared" si="5"/>
        <v>45823</v>
      </c>
      <c r="Q65" s="43">
        <f t="shared" si="3"/>
        <v>0</v>
      </c>
      <c r="R65" s="43">
        <f t="shared" ca="1" si="4"/>
        <v>0</v>
      </c>
      <c r="S65" s="22"/>
      <c r="T65" s="25">
        <v>45093</v>
      </c>
    </row>
    <row r="66" spans="1:20" x14ac:dyDescent="0.3">
      <c r="A66" s="13">
        <v>63</v>
      </c>
      <c r="B66" s="4" t="s">
        <v>703</v>
      </c>
      <c r="C66" s="39">
        <f t="shared" ca="1" si="0"/>
        <v>0</v>
      </c>
      <c r="D66" t="s">
        <v>117</v>
      </c>
      <c r="E66" t="s">
        <v>170</v>
      </c>
      <c r="F66" s="7" t="s">
        <v>79</v>
      </c>
      <c r="G66" s="6" t="s">
        <v>681</v>
      </c>
      <c r="H66" s="2" t="s">
        <v>681</v>
      </c>
      <c r="I66" s="1">
        <v>730</v>
      </c>
      <c r="J66" s="1">
        <v>20</v>
      </c>
      <c r="L66" s="45">
        <f t="shared" si="2"/>
        <v>45824</v>
      </c>
      <c r="M66" s="46">
        <f t="shared" si="5"/>
        <v>45824</v>
      </c>
      <c r="Q66" s="43">
        <f t="shared" si="3"/>
        <v>0</v>
      </c>
      <c r="R66" s="43">
        <f t="shared" ca="1" si="4"/>
        <v>0</v>
      </c>
      <c r="S66" s="22"/>
      <c r="T66" s="25">
        <v>45094</v>
      </c>
    </row>
    <row r="67" spans="1:20" x14ac:dyDescent="0.3">
      <c r="A67" s="13">
        <v>64</v>
      </c>
      <c r="B67" s="4" t="s">
        <v>703</v>
      </c>
      <c r="C67" s="39">
        <f t="shared" ca="1" si="0"/>
        <v>0</v>
      </c>
      <c r="D67" t="s">
        <v>117</v>
      </c>
      <c r="E67" t="s">
        <v>172</v>
      </c>
      <c r="F67" s="7" t="s">
        <v>79</v>
      </c>
      <c r="G67" s="6" t="s">
        <v>681</v>
      </c>
      <c r="H67" s="2" t="s">
        <v>681</v>
      </c>
      <c r="I67" s="1">
        <v>730</v>
      </c>
      <c r="J67" s="1">
        <v>30</v>
      </c>
      <c r="L67" s="45">
        <f t="shared" si="2"/>
        <v>45825</v>
      </c>
      <c r="M67" s="46">
        <f t="shared" si="5"/>
        <v>45825</v>
      </c>
      <c r="Q67" s="43">
        <f t="shared" si="3"/>
        <v>0</v>
      </c>
      <c r="R67" s="43">
        <f t="shared" ca="1" si="4"/>
        <v>0</v>
      </c>
      <c r="S67" s="22"/>
      <c r="T67" s="25">
        <v>45095</v>
      </c>
    </row>
    <row r="68" spans="1:20" x14ac:dyDescent="0.3">
      <c r="A68" s="13">
        <v>65</v>
      </c>
      <c r="B68" s="4" t="s">
        <v>703</v>
      </c>
      <c r="C68" s="39">
        <f t="shared" ca="1" si="0"/>
        <v>0</v>
      </c>
      <c r="D68" t="s">
        <v>117</v>
      </c>
      <c r="E68" t="s">
        <v>171</v>
      </c>
      <c r="F68" s="7" t="s">
        <v>79</v>
      </c>
      <c r="G68" s="6" t="s">
        <v>681</v>
      </c>
      <c r="H68" s="2" t="s">
        <v>681</v>
      </c>
      <c r="I68" s="1">
        <v>730</v>
      </c>
      <c r="J68" s="1">
        <v>30</v>
      </c>
      <c r="L68" s="45">
        <f t="shared" si="2"/>
        <v>45826</v>
      </c>
      <c r="M68" s="46">
        <f t="shared" si="5"/>
        <v>45826</v>
      </c>
      <c r="Q68" s="43">
        <f t="shared" si="3"/>
        <v>0</v>
      </c>
      <c r="R68" s="43">
        <f t="shared" ca="1" si="4"/>
        <v>0</v>
      </c>
      <c r="S68" s="22"/>
      <c r="T68" s="25">
        <v>45096</v>
      </c>
    </row>
    <row r="69" spans="1:20" x14ac:dyDescent="0.3">
      <c r="A69" s="13">
        <v>66</v>
      </c>
      <c r="B69" s="1" t="s">
        <v>704</v>
      </c>
      <c r="C69" s="39">
        <f t="shared" ref="C69:C132" ca="1" si="6">IF(L69&lt;=$A$2,1,0)</f>
        <v>1</v>
      </c>
      <c r="D69" t="s">
        <v>118</v>
      </c>
      <c r="E69" s="5" t="s">
        <v>221</v>
      </c>
      <c r="F69" s="7" t="s">
        <v>79</v>
      </c>
      <c r="G69" s="6" t="s">
        <v>681</v>
      </c>
      <c r="H69" s="2" t="s">
        <v>681</v>
      </c>
      <c r="I69" s="1">
        <v>180</v>
      </c>
      <c r="J69" s="4">
        <v>30</v>
      </c>
      <c r="L69" s="45">
        <f t="shared" ref="L69:L132" si="7">IF(N69="",M69,N69)</f>
        <v>45084</v>
      </c>
      <c r="M69" s="46">
        <f t="shared" si="5"/>
        <v>45277</v>
      </c>
      <c r="N69" s="50">
        <v>45084</v>
      </c>
      <c r="Q69" s="43">
        <f t="shared" ref="Q69:Q132" si="8">IF(O69&lt;&gt;0,1,0)</f>
        <v>0</v>
      </c>
      <c r="R69" s="43">
        <f t="shared" ref="R69:R132" ca="1" si="9">IF(AND(L69&lt;($A$2+7), L69&gt;($A$2+6)),1,0)</f>
        <v>0</v>
      </c>
      <c r="S69" s="22"/>
      <c r="T69" s="25">
        <v>45097</v>
      </c>
    </row>
    <row r="70" spans="1:20" x14ac:dyDescent="0.3">
      <c r="A70" s="13">
        <v>67</v>
      </c>
      <c r="B70" s="1" t="s">
        <v>704</v>
      </c>
      <c r="C70" s="39">
        <f t="shared" ca="1" si="6"/>
        <v>0</v>
      </c>
      <c r="D70" t="s">
        <v>118</v>
      </c>
      <c r="E70" t="s">
        <v>11</v>
      </c>
      <c r="F70" s="7" t="s">
        <v>79</v>
      </c>
      <c r="G70" s="6" t="s">
        <v>681</v>
      </c>
      <c r="H70" s="2" t="s">
        <v>681</v>
      </c>
      <c r="I70" s="1">
        <v>730</v>
      </c>
      <c r="J70" s="4">
        <v>100</v>
      </c>
      <c r="L70" s="45">
        <f t="shared" si="7"/>
        <v>45828</v>
      </c>
      <c r="M70" s="46">
        <f t="shared" si="5"/>
        <v>45828</v>
      </c>
      <c r="Q70" s="43">
        <f t="shared" si="8"/>
        <v>0</v>
      </c>
      <c r="R70" s="43">
        <f t="shared" ca="1" si="9"/>
        <v>0</v>
      </c>
      <c r="S70" s="22"/>
      <c r="T70" s="25">
        <v>45098</v>
      </c>
    </row>
    <row r="71" spans="1:20" x14ac:dyDescent="0.3">
      <c r="A71" s="13">
        <v>68</v>
      </c>
      <c r="B71" s="1" t="s">
        <v>704</v>
      </c>
      <c r="C71" s="39">
        <f t="shared" ca="1" si="6"/>
        <v>0</v>
      </c>
      <c r="D71" t="s">
        <v>118</v>
      </c>
      <c r="E71" t="s">
        <v>12</v>
      </c>
      <c r="F71" s="7" t="s">
        <v>79</v>
      </c>
      <c r="G71" s="6" t="s">
        <v>681</v>
      </c>
      <c r="H71" s="2" t="s">
        <v>681</v>
      </c>
      <c r="I71" s="1">
        <v>730</v>
      </c>
      <c r="J71" s="1">
        <v>120</v>
      </c>
      <c r="L71" s="45">
        <f t="shared" si="7"/>
        <v>45829</v>
      </c>
      <c r="M71" s="46">
        <f t="shared" si="5"/>
        <v>45829</v>
      </c>
      <c r="Q71" s="43">
        <f t="shared" si="8"/>
        <v>0</v>
      </c>
      <c r="R71" s="43">
        <f t="shared" ca="1" si="9"/>
        <v>0</v>
      </c>
      <c r="S71" s="22"/>
      <c r="T71" s="25">
        <v>45099</v>
      </c>
    </row>
    <row r="72" spans="1:20" x14ac:dyDescent="0.3">
      <c r="A72" s="13">
        <v>69</v>
      </c>
      <c r="B72" s="1" t="s">
        <v>704</v>
      </c>
      <c r="C72" s="39">
        <f t="shared" ca="1" si="6"/>
        <v>1</v>
      </c>
      <c r="D72" t="s">
        <v>118</v>
      </c>
      <c r="E72" t="s">
        <v>170</v>
      </c>
      <c r="F72" s="7" t="s">
        <v>79</v>
      </c>
      <c r="G72" s="6" t="s">
        <v>681</v>
      </c>
      <c r="H72" s="2" t="s">
        <v>681</v>
      </c>
      <c r="I72" s="1">
        <v>730</v>
      </c>
      <c r="J72" s="1">
        <v>20</v>
      </c>
      <c r="L72" s="45">
        <f t="shared" si="7"/>
        <v>45084</v>
      </c>
      <c r="M72" s="46">
        <f t="shared" si="5"/>
        <v>45830</v>
      </c>
      <c r="N72" s="50">
        <v>45084</v>
      </c>
      <c r="Q72" s="43">
        <f t="shared" si="8"/>
        <v>0</v>
      </c>
      <c r="R72" s="43">
        <f t="shared" ca="1" si="9"/>
        <v>0</v>
      </c>
      <c r="S72" s="22"/>
      <c r="T72" s="25">
        <v>45100</v>
      </c>
    </row>
    <row r="73" spans="1:20" x14ac:dyDescent="0.3">
      <c r="A73" s="13">
        <v>70</v>
      </c>
      <c r="B73" s="1" t="s">
        <v>704</v>
      </c>
      <c r="C73" s="39">
        <f t="shared" ca="1" si="6"/>
        <v>0</v>
      </c>
      <c r="D73" t="s">
        <v>118</v>
      </c>
      <c r="E73" t="s">
        <v>172</v>
      </c>
      <c r="F73" s="7" t="s">
        <v>79</v>
      </c>
      <c r="G73" s="6" t="s">
        <v>681</v>
      </c>
      <c r="H73" s="2" t="s">
        <v>681</v>
      </c>
      <c r="I73" s="1">
        <v>730</v>
      </c>
      <c r="J73" s="1">
        <v>30</v>
      </c>
      <c r="L73" s="45">
        <f t="shared" si="7"/>
        <v>45831</v>
      </c>
      <c r="M73" s="46">
        <f t="shared" si="5"/>
        <v>45831</v>
      </c>
      <c r="Q73" s="43">
        <f t="shared" si="8"/>
        <v>0</v>
      </c>
      <c r="R73" s="43">
        <f t="shared" ca="1" si="9"/>
        <v>0</v>
      </c>
      <c r="S73" s="22"/>
      <c r="T73" s="25">
        <v>45101</v>
      </c>
    </row>
    <row r="74" spans="1:20" x14ac:dyDescent="0.3">
      <c r="A74" s="13">
        <v>71</v>
      </c>
      <c r="B74" s="1" t="s">
        <v>704</v>
      </c>
      <c r="C74" s="39">
        <f t="shared" ca="1" si="6"/>
        <v>0</v>
      </c>
      <c r="D74" t="s">
        <v>118</v>
      </c>
      <c r="E74" t="s">
        <v>171</v>
      </c>
      <c r="F74" s="7" t="s">
        <v>79</v>
      </c>
      <c r="G74" s="6" t="s">
        <v>681</v>
      </c>
      <c r="H74" s="2" t="s">
        <v>681</v>
      </c>
      <c r="I74" s="1">
        <v>730</v>
      </c>
      <c r="J74" s="1">
        <v>30</v>
      </c>
      <c r="L74" s="45">
        <f t="shared" si="7"/>
        <v>45832</v>
      </c>
      <c r="M74" s="46">
        <f t="shared" si="5"/>
        <v>45832</v>
      </c>
      <c r="Q74" s="43">
        <f t="shared" si="8"/>
        <v>0</v>
      </c>
      <c r="R74" s="43">
        <f t="shared" ca="1" si="9"/>
        <v>0</v>
      </c>
      <c r="S74" s="22"/>
      <c r="T74" s="25">
        <v>45102</v>
      </c>
    </row>
    <row r="75" spans="1:20" x14ac:dyDescent="0.3">
      <c r="A75" s="13">
        <v>72</v>
      </c>
      <c r="B75" s="1" t="s">
        <v>704</v>
      </c>
      <c r="C75" s="39">
        <f t="shared" ca="1" si="6"/>
        <v>0</v>
      </c>
      <c r="D75" t="s">
        <v>118</v>
      </c>
      <c r="E75" t="s">
        <v>173</v>
      </c>
      <c r="F75" s="7" t="s">
        <v>79</v>
      </c>
      <c r="G75" s="6" t="s">
        <v>681</v>
      </c>
      <c r="H75" s="2" t="s">
        <v>681</v>
      </c>
      <c r="I75" s="1">
        <v>730</v>
      </c>
      <c r="J75" s="1">
        <v>20</v>
      </c>
      <c r="L75" s="45">
        <f t="shared" si="7"/>
        <v>45833</v>
      </c>
      <c r="M75" s="46">
        <f t="shared" si="5"/>
        <v>45833</v>
      </c>
      <c r="Q75" s="43">
        <f t="shared" si="8"/>
        <v>0</v>
      </c>
      <c r="R75" s="43">
        <f t="shared" ca="1" si="9"/>
        <v>0</v>
      </c>
      <c r="S75" s="22"/>
      <c r="T75" s="25">
        <v>45103</v>
      </c>
    </row>
    <row r="76" spans="1:20" x14ac:dyDescent="0.3">
      <c r="A76" s="13">
        <v>73</v>
      </c>
      <c r="B76" s="1" t="s">
        <v>705</v>
      </c>
      <c r="C76" s="39">
        <f t="shared" ca="1" si="6"/>
        <v>0</v>
      </c>
      <c r="D76" t="s">
        <v>119</v>
      </c>
      <c r="E76" s="5" t="s">
        <v>221</v>
      </c>
      <c r="F76" s="7" t="s">
        <v>79</v>
      </c>
      <c r="G76" s="6" t="s">
        <v>681</v>
      </c>
      <c r="H76" s="2" t="s">
        <v>681</v>
      </c>
      <c r="I76" s="1">
        <v>180</v>
      </c>
      <c r="J76" s="4">
        <v>30</v>
      </c>
      <c r="L76" s="45">
        <f t="shared" si="7"/>
        <v>45284</v>
      </c>
      <c r="M76" s="46">
        <f t="shared" si="5"/>
        <v>45284</v>
      </c>
      <c r="Q76" s="43">
        <f t="shared" si="8"/>
        <v>0</v>
      </c>
      <c r="R76" s="43">
        <f t="shared" ca="1" si="9"/>
        <v>0</v>
      </c>
      <c r="S76" s="22"/>
      <c r="T76" s="25">
        <v>45104</v>
      </c>
    </row>
    <row r="77" spans="1:20" x14ac:dyDescent="0.3">
      <c r="A77" s="13">
        <v>74</v>
      </c>
      <c r="B77" s="1" t="s">
        <v>705</v>
      </c>
      <c r="C77" s="39">
        <f t="shared" ca="1" si="6"/>
        <v>0</v>
      </c>
      <c r="D77" t="s">
        <v>119</v>
      </c>
      <c r="E77" t="s">
        <v>11</v>
      </c>
      <c r="F77" s="7" t="s">
        <v>79</v>
      </c>
      <c r="G77" s="6" t="s">
        <v>681</v>
      </c>
      <c r="H77" s="2" t="s">
        <v>681</v>
      </c>
      <c r="I77" s="1">
        <v>730</v>
      </c>
      <c r="J77" s="4">
        <v>100</v>
      </c>
      <c r="L77" s="45">
        <f t="shared" si="7"/>
        <v>45835</v>
      </c>
      <c r="M77" s="46">
        <f t="shared" si="5"/>
        <v>45835</v>
      </c>
      <c r="Q77" s="43">
        <f t="shared" si="8"/>
        <v>0</v>
      </c>
      <c r="R77" s="43">
        <f t="shared" ca="1" si="9"/>
        <v>0</v>
      </c>
      <c r="S77" s="22"/>
      <c r="T77" s="25">
        <v>45105</v>
      </c>
    </row>
    <row r="78" spans="1:20" x14ac:dyDescent="0.3">
      <c r="A78" s="13">
        <v>75</v>
      </c>
      <c r="B78" s="1" t="s">
        <v>705</v>
      </c>
      <c r="C78" s="39">
        <f t="shared" ca="1" si="6"/>
        <v>0</v>
      </c>
      <c r="D78" t="s">
        <v>119</v>
      </c>
      <c r="E78" t="s">
        <v>12</v>
      </c>
      <c r="F78" s="7" t="s">
        <v>79</v>
      </c>
      <c r="G78" s="6" t="s">
        <v>681</v>
      </c>
      <c r="H78" s="2" t="s">
        <v>681</v>
      </c>
      <c r="I78" s="1">
        <v>730</v>
      </c>
      <c r="J78" s="1">
        <v>120</v>
      </c>
      <c r="L78" s="45">
        <f t="shared" si="7"/>
        <v>45836</v>
      </c>
      <c r="M78" s="46">
        <f t="shared" si="5"/>
        <v>45836</v>
      </c>
      <c r="Q78" s="43">
        <f t="shared" si="8"/>
        <v>0</v>
      </c>
      <c r="R78" s="43">
        <f t="shared" ca="1" si="9"/>
        <v>0</v>
      </c>
      <c r="S78" s="22"/>
      <c r="T78" s="25">
        <v>45106</v>
      </c>
    </row>
    <row r="79" spans="1:20" x14ac:dyDescent="0.3">
      <c r="A79" s="13">
        <v>76</v>
      </c>
      <c r="B79" s="1" t="s">
        <v>705</v>
      </c>
      <c r="C79" s="39">
        <f t="shared" ca="1" si="6"/>
        <v>1</v>
      </c>
      <c r="D79" t="s">
        <v>119</v>
      </c>
      <c r="E79" t="s">
        <v>170</v>
      </c>
      <c r="F79" s="7" t="s">
        <v>79</v>
      </c>
      <c r="G79" s="6" t="s">
        <v>681</v>
      </c>
      <c r="H79" s="2" t="s">
        <v>681</v>
      </c>
      <c r="I79" s="1">
        <v>730</v>
      </c>
      <c r="J79" s="1">
        <v>20</v>
      </c>
      <c r="L79" s="45">
        <f t="shared" si="7"/>
        <v>45084</v>
      </c>
      <c r="M79" s="46">
        <f t="shared" si="5"/>
        <v>45837</v>
      </c>
      <c r="N79" s="50">
        <v>45084</v>
      </c>
      <c r="Q79" s="43">
        <f t="shared" si="8"/>
        <v>0</v>
      </c>
      <c r="R79" s="43">
        <f t="shared" ca="1" si="9"/>
        <v>0</v>
      </c>
      <c r="S79" s="22"/>
      <c r="T79" s="25">
        <v>45107</v>
      </c>
    </row>
    <row r="80" spans="1:20" x14ac:dyDescent="0.3">
      <c r="A80" s="13">
        <v>77</v>
      </c>
      <c r="B80" s="1" t="s">
        <v>705</v>
      </c>
      <c r="C80" s="39">
        <f t="shared" ca="1" si="6"/>
        <v>0</v>
      </c>
      <c r="D80" t="s">
        <v>119</v>
      </c>
      <c r="E80" t="s">
        <v>172</v>
      </c>
      <c r="F80" s="7" t="s">
        <v>79</v>
      </c>
      <c r="G80" s="6" t="s">
        <v>681</v>
      </c>
      <c r="H80" s="2" t="s">
        <v>681</v>
      </c>
      <c r="I80" s="1">
        <v>730</v>
      </c>
      <c r="J80" s="1">
        <v>30</v>
      </c>
      <c r="L80" s="45">
        <f t="shared" si="7"/>
        <v>45838</v>
      </c>
      <c r="M80" s="46">
        <f t="shared" si="5"/>
        <v>45838</v>
      </c>
      <c r="Q80" s="43">
        <f t="shared" si="8"/>
        <v>0</v>
      </c>
      <c r="R80" s="43">
        <f t="shared" ca="1" si="9"/>
        <v>0</v>
      </c>
      <c r="S80" s="22"/>
      <c r="T80" s="25">
        <v>45108</v>
      </c>
    </row>
    <row r="81" spans="1:20" x14ac:dyDescent="0.3">
      <c r="A81" s="13">
        <v>78</v>
      </c>
      <c r="B81" s="1" t="s">
        <v>705</v>
      </c>
      <c r="C81" s="39">
        <f t="shared" ca="1" si="6"/>
        <v>0</v>
      </c>
      <c r="D81" t="s">
        <v>119</v>
      </c>
      <c r="E81" t="s">
        <v>171</v>
      </c>
      <c r="F81" s="7" t="s">
        <v>79</v>
      </c>
      <c r="G81" s="6" t="s">
        <v>681</v>
      </c>
      <c r="H81" s="2" t="s">
        <v>681</v>
      </c>
      <c r="I81" s="1">
        <v>730</v>
      </c>
      <c r="J81" s="1">
        <v>30</v>
      </c>
      <c r="L81" s="45">
        <f t="shared" si="7"/>
        <v>45839</v>
      </c>
      <c r="M81" s="46">
        <f t="shared" si="5"/>
        <v>45839</v>
      </c>
      <c r="Q81" s="43">
        <f t="shared" si="8"/>
        <v>0</v>
      </c>
      <c r="R81" s="43">
        <f t="shared" ca="1" si="9"/>
        <v>0</v>
      </c>
      <c r="S81" s="22"/>
      <c r="T81" s="25">
        <v>45109</v>
      </c>
    </row>
    <row r="82" spans="1:20" x14ac:dyDescent="0.3">
      <c r="A82" s="13">
        <v>79</v>
      </c>
      <c r="B82" s="1" t="s">
        <v>705</v>
      </c>
      <c r="C82" s="39">
        <f t="shared" ca="1" si="6"/>
        <v>0</v>
      </c>
      <c r="D82" t="s">
        <v>120</v>
      </c>
      <c r="E82" t="s">
        <v>174</v>
      </c>
      <c r="F82" s="7" t="s">
        <v>79</v>
      </c>
      <c r="G82" s="6" t="s">
        <v>681</v>
      </c>
      <c r="H82" s="2" t="s">
        <v>681</v>
      </c>
      <c r="I82" s="1">
        <v>180</v>
      </c>
      <c r="J82" s="1">
        <v>10</v>
      </c>
      <c r="L82" s="45">
        <f t="shared" si="7"/>
        <v>45290</v>
      </c>
      <c r="M82" s="46">
        <f t="shared" si="5"/>
        <v>45290</v>
      </c>
      <c r="Q82" s="43">
        <f t="shared" si="8"/>
        <v>0</v>
      </c>
      <c r="R82" s="43">
        <f t="shared" ca="1" si="9"/>
        <v>0</v>
      </c>
      <c r="S82" s="22"/>
      <c r="T82" s="25">
        <v>45110</v>
      </c>
    </row>
    <row r="83" spans="1:20" x14ac:dyDescent="0.3">
      <c r="A83" s="13">
        <v>80</v>
      </c>
      <c r="B83" s="1" t="s">
        <v>705</v>
      </c>
      <c r="C83" s="39">
        <f t="shared" ca="1" si="6"/>
        <v>0</v>
      </c>
      <c r="D83" t="s">
        <v>120</v>
      </c>
      <c r="E83" t="s">
        <v>175</v>
      </c>
      <c r="F83" s="7" t="s">
        <v>79</v>
      </c>
      <c r="G83" s="6" t="s">
        <v>681</v>
      </c>
      <c r="H83" s="2" t="s">
        <v>681</v>
      </c>
      <c r="I83" s="1">
        <v>730</v>
      </c>
      <c r="J83" s="1">
        <v>15</v>
      </c>
      <c r="L83" s="45">
        <f t="shared" si="7"/>
        <v>45841</v>
      </c>
      <c r="M83" s="46">
        <f t="shared" si="5"/>
        <v>45841</v>
      </c>
      <c r="Q83" s="43">
        <f t="shared" si="8"/>
        <v>0</v>
      </c>
      <c r="R83" s="43">
        <f t="shared" ca="1" si="9"/>
        <v>0</v>
      </c>
      <c r="S83" s="22"/>
      <c r="T83" s="25">
        <v>45111</v>
      </c>
    </row>
    <row r="84" spans="1:20" x14ac:dyDescent="0.3">
      <c r="A84" s="13">
        <v>81</v>
      </c>
      <c r="B84" s="1" t="s">
        <v>705</v>
      </c>
      <c r="C84" s="39">
        <f t="shared" ca="1" si="6"/>
        <v>0</v>
      </c>
      <c r="D84" t="s">
        <v>120</v>
      </c>
      <c r="E84" t="s">
        <v>143</v>
      </c>
      <c r="F84" s="7" t="s">
        <v>79</v>
      </c>
      <c r="G84" s="6" t="s">
        <v>681</v>
      </c>
      <c r="H84" s="2" t="s">
        <v>681</v>
      </c>
      <c r="I84" s="1">
        <v>730</v>
      </c>
      <c r="J84" s="1">
        <v>30</v>
      </c>
      <c r="L84" s="45">
        <f t="shared" si="7"/>
        <v>45842</v>
      </c>
      <c r="M84" s="46">
        <f t="shared" si="5"/>
        <v>45842</v>
      </c>
      <c r="Q84" s="43">
        <f t="shared" si="8"/>
        <v>0</v>
      </c>
      <c r="R84" s="43">
        <f t="shared" ca="1" si="9"/>
        <v>0</v>
      </c>
      <c r="S84" s="22"/>
      <c r="T84" s="25">
        <v>45112</v>
      </c>
    </row>
    <row r="85" spans="1:20" x14ac:dyDescent="0.3">
      <c r="A85" s="13">
        <v>82</v>
      </c>
      <c r="B85" s="1" t="s">
        <v>705</v>
      </c>
      <c r="C85" s="39">
        <f t="shared" ca="1" si="6"/>
        <v>0</v>
      </c>
      <c r="D85" t="s">
        <v>120</v>
      </c>
      <c r="E85" t="s">
        <v>223</v>
      </c>
      <c r="F85" s="7" t="s">
        <v>79</v>
      </c>
      <c r="G85" s="6" t="s">
        <v>681</v>
      </c>
      <c r="H85" s="2" t="s">
        <v>681</v>
      </c>
      <c r="I85" s="1">
        <v>1000</v>
      </c>
      <c r="J85" s="1">
        <v>90</v>
      </c>
      <c r="L85" s="45">
        <f t="shared" si="7"/>
        <v>46113</v>
      </c>
      <c r="M85" s="46">
        <f t="shared" si="5"/>
        <v>46113</v>
      </c>
      <c r="Q85" s="43">
        <f t="shared" si="8"/>
        <v>0</v>
      </c>
      <c r="R85" s="43">
        <f t="shared" ca="1" si="9"/>
        <v>0</v>
      </c>
      <c r="S85" s="22"/>
      <c r="T85" s="25">
        <v>45113</v>
      </c>
    </row>
    <row r="86" spans="1:20" x14ac:dyDescent="0.3">
      <c r="A86" s="13">
        <v>83</v>
      </c>
      <c r="B86" s="1" t="s">
        <v>705</v>
      </c>
      <c r="C86" s="39">
        <f t="shared" ca="1" si="6"/>
        <v>0</v>
      </c>
      <c r="D86" t="s">
        <v>120</v>
      </c>
      <c r="E86" t="s">
        <v>176</v>
      </c>
      <c r="F86" s="7" t="s">
        <v>79</v>
      </c>
      <c r="G86" s="6" t="s">
        <v>681</v>
      </c>
      <c r="H86" s="2" t="s">
        <v>681</v>
      </c>
      <c r="I86" s="1">
        <v>730</v>
      </c>
      <c r="J86" s="1">
        <v>30</v>
      </c>
      <c r="L86" s="45">
        <f t="shared" si="7"/>
        <v>45844</v>
      </c>
      <c r="M86" s="46">
        <f t="shared" si="5"/>
        <v>45844</v>
      </c>
      <c r="Q86" s="43">
        <f t="shared" si="8"/>
        <v>0</v>
      </c>
      <c r="R86" s="43">
        <f t="shared" ca="1" si="9"/>
        <v>0</v>
      </c>
      <c r="S86" s="22"/>
      <c r="T86" s="25">
        <v>45114</v>
      </c>
    </row>
    <row r="87" spans="1:20" x14ac:dyDescent="0.3">
      <c r="A87" s="13">
        <v>84</v>
      </c>
      <c r="B87" s="1" t="s">
        <v>705</v>
      </c>
      <c r="C87" s="39">
        <f t="shared" ca="1" si="6"/>
        <v>0</v>
      </c>
      <c r="D87" t="s">
        <v>121</v>
      </c>
      <c r="E87" t="s">
        <v>178</v>
      </c>
      <c r="F87" s="7" t="s">
        <v>79</v>
      </c>
      <c r="G87" s="6" t="s">
        <v>681</v>
      </c>
      <c r="H87" s="2" t="s">
        <v>681</v>
      </c>
      <c r="I87" s="1">
        <v>730</v>
      </c>
      <c r="J87" s="1">
        <v>30</v>
      </c>
      <c r="L87" s="45">
        <f t="shared" si="7"/>
        <v>45845</v>
      </c>
      <c r="M87" s="46">
        <f t="shared" si="5"/>
        <v>45845</v>
      </c>
      <c r="Q87" s="43">
        <f t="shared" si="8"/>
        <v>0</v>
      </c>
      <c r="R87" s="43">
        <f t="shared" ca="1" si="9"/>
        <v>0</v>
      </c>
      <c r="S87" s="22"/>
      <c r="T87" s="25">
        <v>45115</v>
      </c>
    </row>
    <row r="88" spans="1:20" x14ac:dyDescent="0.3">
      <c r="A88" s="13">
        <v>85</v>
      </c>
      <c r="B88" s="1" t="s">
        <v>705</v>
      </c>
      <c r="C88" s="39">
        <f t="shared" ca="1" si="6"/>
        <v>1</v>
      </c>
      <c r="D88" t="s">
        <v>36</v>
      </c>
      <c r="E88" t="s">
        <v>179</v>
      </c>
      <c r="F88" s="7" t="s">
        <v>79</v>
      </c>
      <c r="G88" s="6" t="s">
        <v>681</v>
      </c>
      <c r="H88" s="2" t="s">
        <v>681</v>
      </c>
      <c r="I88" s="1">
        <v>180</v>
      </c>
      <c r="J88" s="1">
        <v>180</v>
      </c>
      <c r="L88" s="45">
        <f t="shared" si="7"/>
        <v>45084</v>
      </c>
      <c r="M88" s="46">
        <f t="shared" si="5"/>
        <v>45296</v>
      </c>
      <c r="N88" s="50">
        <v>45084</v>
      </c>
      <c r="Q88" s="43">
        <f t="shared" si="8"/>
        <v>0</v>
      </c>
      <c r="R88" s="43">
        <f t="shared" ca="1" si="9"/>
        <v>0</v>
      </c>
      <c r="S88" s="22"/>
      <c r="T88" s="25">
        <v>45116</v>
      </c>
    </row>
    <row r="89" spans="1:20" x14ac:dyDescent="0.3">
      <c r="A89" s="13">
        <v>86</v>
      </c>
      <c r="B89" s="1" t="s">
        <v>706</v>
      </c>
      <c r="C89" s="39">
        <f t="shared" ca="1" si="6"/>
        <v>0</v>
      </c>
      <c r="D89" t="s">
        <v>122</v>
      </c>
      <c r="E89" t="s">
        <v>144</v>
      </c>
      <c r="F89" s="7" t="s">
        <v>79</v>
      </c>
      <c r="G89" s="6" t="s">
        <v>681</v>
      </c>
      <c r="H89" s="2" t="s">
        <v>681</v>
      </c>
      <c r="I89" s="1">
        <v>365</v>
      </c>
      <c r="J89" s="1">
        <v>20</v>
      </c>
      <c r="L89" s="45">
        <f t="shared" si="7"/>
        <v>45482</v>
      </c>
      <c r="M89" s="46">
        <f t="shared" si="5"/>
        <v>45482</v>
      </c>
      <c r="Q89" s="43">
        <f t="shared" si="8"/>
        <v>0</v>
      </c>
      <c r="R89" s="43">
        <f t="shared" ca="1" si="9"/>
        <v>0</v>
      </c>
      <c r="S89" s="22"/>
      <c r="T89" s="25">
        <v>45117</v>
      </c>
    </row>
    <row r="90" spans="1:20" x14ac:dyDescent="0.3">
      <c r="A90" s="13">
        <v>87</v>
      </c>
      <c r="B90" s="1" t="s">
        <v>706</v>
      </c>
      <c r="C90" s="39">
        <f t="shared" ca="1" si="6"/>
        <v>0</v>
      </c>
      <c r="D90" t="s">
        <v>122</v>
      </c>
      <c r="E90" t="s">
        <v>145</v>
      </c>
      <c r="F90" s="7" t="s">
        <v>79</v>
      </c>
      <c r="G90" s="6" t="s">
        <v>681</v>
      </c>
      <c r="H90" s="2" t="s">
        <v>681</v>
      </c>
      <c r="I90" s="1">
        <v>1000</v>
      </c>
      <c r="J90" s="1">
        <v>30</v>
      </c>
      <c r="L90" s="45">
        <f t="shared" si="7"/>
        <v>46118</v>
      </c>
      <c r="M90" s="46">
        <f t="shared" si="5"/>
        <v>46118</v>
      </c>
      <c r="Q90" s="43">
        <f t="shared" si="8"/>
        <v>0</v>
      </c>
      <c r="R90" s="43">
        <f t="shared" ca="1" si="9"/>
        <v>0</v>
      </c>
      <c r="S90" s="22"/>
      <c r="T90" s="25">
        <v>45118</v>
      </c>
    </row>
    <row r="91" spans="1:20" x14ac:dyDescent="0.3">
      <c r="A91" s="13">
        <v>88</v>
      </c>
      <c r="B91" s="1" t="s">
        <v>706</v>
      </c>
      <c r="C91" s="39">
        <f t="shared" ca="1" si="6"/>
        <v>0</v>
      </c>
      <c r="D91" t="s">
        <v>123</v>
      </c>
      <c r="E91" s="5" t="s">
        <v>221</v>
      </c>
      <c r="F91" s="7" t="s">
        <v>79</v>
      </c>
      <c r="G91" s="6" t="s">
        <v>681</v>
      </c>
      <c r="H91" s="2" t="s">
        <v>681</v>
      </c>
      <c r="I91" s="1">
        <v>180</v>
      </c>
      <c r="J91" s="4">
        <v>30</v>
      </c>
      <c r="L91" s="45">
        <f t="shared" si="7"/>
        <v>45299</v>
      </c>
      <c r="M91" s="46">
        <f t="shared" si="5"/>
        <v>45299</v>
      </c>
      <c r="Q91" s="43">
        <f t="shared" si="8"/>
        <v>0</v>
      </c>
      <c r="R91" s="43">
        <f t="shared" ca="1" si="9"/>
        <v>0</v>
      </c>
      <c r="S91" s="22"/>
      <c r="T91" s="25">
        <v>45119</v>
      </c>
    </row>
    <row r="92" spans="1:20" x14ac:dyDescent="0.3">
      <c r="A92" s="13">
        <v>89</v>
      </c>
      <c r="B92" s="1" t="s">
        <v>706</v>
      </c>
      <c r="C92" s="39">
        <f t="shared" ca="1" si="6"/>
        <v>0</v>
      </c>
      <c r="D92" t="s">
        <v>123</v>
      </c>
      <c r="E92" t="s">
        <v>11</v>
      </c>
      <c r="F92" s="7" t="s">
        <v>79</v>
      </c>
      <c r="G92" s="6" t="s">
        <v>681</v>
      </c>
      <c r="H92" s="2" t="s">
        <v>681</v>
      </c>
      <c r="I92" s="1">
        <v>730</v>
      </c>
      <c r="J92" s="4">
        <v>100</v>
      </c>
      <c r="L92" s="45">
        <f t="shared" si="7"/>
        <v>45850</v>
      </c>
      <c r="M92" s="46">
        <f t="shared" si="5"/>
        <v>45850</v>
      </c>
      <c r="Q92" s="43">
        <f t="shared" si="8"/>
        <v>0</v>
      </c>
      <c r="R92" s="43">
        <f t="shared" ca="1" si="9"/>
        <v>0</v>
      </c>
      <c r="S92" s="22"/>
      <c r="T92" s="25">
        <v>45120</v>
      </c>
    </row>
    <row r="93" spans="1:20" x14ac:dyDescent="0.3">
      <c r="A93" s="13">
        <v>90</v>
      </c>
      <c r="B93" s="1" t="s">
        <v>706</v>
      </c>
      <c r="C93" s="39">
        <f t="shared" ca="1" si="6"/>
        <v>0</v>
      </c>
      <c r="D93" t="s">
        <v>123</v>
      </c>
      <c r="E93" t="s">
        <v>12</v>
      </c>
      <c r="F93" s="7" t="s">
        <v>79</v>
      </c>
      <c r="G93" s="6" t="s">
        <v>681</v>
      </c>
      <c r="H93" s="2" t="s">
        <v>681</v>
      </c>
      <c r="I93" s="1">
        <v>730</v>
      </c>
      <c r="J93" s="1">
        <v>120</v>
      </c>
      <c r="L93" s="45">
        <f t="shared" si="7"/>
        <v>45851</v>
      </c>
      <c r="M93" s="46">
        <f t="shared" si="5"/>
        <v>45851</v>
      </c>
      <c r="Q93" s="43">
        <f t="shared" si="8"/>
        <v>0</v>
      </c>
      <c r="R93" s="43">
        <f t="shared" ca="1" si="9"/>
        <v>0</v>
      </c>
      <c r="S93" s="22"/>
      <c r="T93" s="25">
        <v>45121</v>
      </c>
    </row>
    <row r="94" spans="1:20" x14ac:dyDescent="0.3">
      <c r="A94" s="13">
        <v>91</v>
      </c>
      <c r="B94" s="1" t="s">
        <v>706</v>
      </c>
      <c r="C94" s="39">
        <f t="shared" ca="1" si="6"/>
        <v>0</v>
      </c>
      <c r="D94" t="s">
        <v>123</v>
      </c>
      <c r="E94" t="s">
        <v>170</v>
      </c>
      <c r="F94" s="7" t="s">
        <v>79</v>
      </c>
      <c r="G94" s="6" t="s">
        <v>681</v>
      </c>
      <c r="H94" s="2" t="s">
        <v>681</v>
      </c>
      <c r="I94" s="1">
        <v>730</v>
      </c>
      <c r="J94" s="1">
        <v>20</v>
      </c>
      <c r="L94" s="45">
        <f t="shared" si="7"/>
        <v>45852</v>
      </c>
      <c r="M94" s="46">
        <f t="shared" si="5"/>
        <v>45852</v>
      </c>
      <c r="Q94" s="43">
        <f t="shared" si="8"/>
        <v>0</v>
      </c>
      <c r="R94" s="43">
        <f t="shared" ca="1" si="9"/>
        <v>0</v>
      </c>
      <c r="S94" s="22"/>
      <c r="T94" s="25">
        <v>45122</v>
      </c>
    </row>
    <row r="95" spans="1:20" x14ac:dyDescent="0.3">
      <c r="A95" s="13">
        <v>92</v>
      </c>
      <c r="B95" s="1" t="s">
        <v>706</v>
      </c>
      <c r="C95" s="39">
        <f t="shared" ca="1" si="6"/>
        <v>0</v>
      </c>
      <c r="D95" t="s">
        <v>123</v>
      </c>
      <c r="E95" t="s">
        <v>172</v>
      </c>
      <c r="F95" s="7" t="s">
        <v>79</v>
      </c>
      <c r="G95" s="6" t="s">
        <v>681</v>
      </c>
      <c r="H95" s="2" t="s">
        <v>681</v>
      </c>
      <c r="I95" s="1">
        <v>730</v>
      </c>
      <c r="J95" s="1">
        <v>30</v>
      </c>
      <c r="L95" s="45">
        <f t="shared" si="7"/>
        <v>45853</v>
      </c>
      <c r="M95" s="46">
        <f t="shared" si="5"/>
        <v>45853</v>
      </c>
      <c r="Q95" s="43">
        <f t="shared" si="8"/>
        <v>0</v>
      </c>
      <c r="R95" s="43">
        <f t="shared" ca="1" si="9"/>
        <v>0</v>
      </c>
      <c r="S95" s="22"/>
      <c r="T95" s="25">
        <v>45123</v>
      </c>
    </row>
    <row r="96" spans="1:20" x14ac:dyDescent="0.3">
      <c r="A96" s="13">
        <v>93</v>
      </c>
      <c r="B96" s="1" t="s">
        <v>706</v>
      </c>
      <c r="C96" s="39">
        <f t="shared" ca="1" si="6"/>
        <v>0</v>
      </c>
      <c r="D96" t="s">
        <v>123</v>
      </c>
      <c r="E96" t="s">
        <v>180</v>
      </c>
      <c r="F96" s="7" t="s">
        <v>79</v>
      </c>
      <c r="G96" s="6" t="s">
        <v>681</v>
      </c>
      <c r="H96" s="2" t="s">
        <v>681</v>
      </c>
      <c r="I96" s="1">
        <v>730</v>
      </c>
      <c r="J96" s="1">
        <v>15</v>
      </c>
      <c r="L96" s="45">
        <f t="shared" si="7"/>
        <v>45854</v>
      </c>
      <c r="M96" s="46">
        <f t="shared" si="5"/>
        <v>45854</v>
      </c>
      <c r="Q96" s="43">
        <f t="shared" si="8"/>
        <v>0</v>
      </c>
      <c r="R96" s="43">
        <f t="shared" ca="1" si="9"/>
        <v>0</v>
      </c>
      <c r="S96" s="22"/>
      <c r="T96" s="25">
        <v>45124</v>
      </c>
    </row>
    <row r="97" spans="1:173" x14ac:dyDescent="0.3">
      <c r="A97" s="13">
        <v>94</v>
      </c>
      <c r="B97" s="1" t="s">
        <v>706</v>
      </c>
      <c r="C97" s="39">
        <f t="shared" ca="1" si="6"/>
        <v>0</v>
      </c>
      <c r="D97" t="s">
        <v>37</v>
      </c>
      <c r="E97" t="s">
        <v>181</v>
      </c>
      <c r="F97" s="7" t="s">
        <v>79</v>
      </c>
      <c r="G97" s="6" t="s">
        <v>681</v>
      </c>
      <c r="H97" s="2" t="s">
        <v>681</v>
      </c>
      <c r="I97" s="1">
        <v>730</v>
      </c>
      <c r="J97" s="1">
        <v>30</v>
      </c>
      <c r="L97" s="45">
        <f t="shared" si="7"/>
        <v>45855</v>
      </c>
      <c r="M97" s="46">
        <f t="shared" ref="M97:M160" si="10">T97+I97</f>
        <v>45855</v>
      </c>
      <c r="Q97" s="43">
        <f t="shared" si="8"/>
        <v>0</v>
      </c>
      <c r="R97" s="43">
        <f t="shared" ca="1" si="9"/>
        <v>0</v>
      </c>
      <c r="S97" s="22"/>
      <c r="T97" s="25">
        <v>45125</v>
      </c>
    </row>
    <row r="98" spans="1:173" x14ac:dyDescent="0.3">
      <c r="A98" s="13">
        <v>95</v>
      </c>
      <c r="B98" s="1" t="s">
        <v>706</v>
      </c>
      <c r="C98" s="39">
        <f t="shared" ca="1" si="6"/>
        <v>0</v>
      </c>
      <c r="D98" t="s">
        <v>37</v>
      </c>
      <c r="E98" t="s">
        <v>148</v>
      </c>
      <c r="F98" s="7" t="s">
        <v>79</v>
      </c>
      <c r="G98" s="6" t="s">
        <v>681</v>
      </c>
      <c r="H98" s="2" t="s">
        <v>681</v>
      </c>
      <c r="I98" s="1">
        <v>730</v>
      </c>
      <c r="J98" s="1">
        <v>30</v>
      </c>
      <c r="L98" s="45">
        <f t="shared" si="7"/>
        <v>45856</v>
      </c>
      <c r="M98" s="46">
        <f t="shared" si="10"/>
        <v>45856</v>
      </c>
      <c r="Q98" s="43">
        <f t="shared" si="8"/>
        <v>0</v>
      </c>
      <c r="R98" s="43">
        <f t="shared" ca="1" si="9"/>
        <v>0</v>
      </c>
      <c r="S98" s="22"/>
      <c r="T98" s="25">
        <v>45126</v>
      </c>
    </row>
    <row r="99" spans="1:173" x14ac:dyDescent="0.3">
      <c r="A99" s="13">
        <v>96</v>
      </c>
      <c r="B99" s="1" t="s">
        <v>706</v>
      </c>
      <c r="C99" s="39">
        <f t="shared" ca="1" si="6"/>
        <v>0</v>
      </c>
      <c r="D99" t="s">
        <v>37</v>
      </c>
      <c r="E99" t="s">
        <v>170</v>
      </c>
      <c r="F99" s="7" t="s">
        <v>79</v>
      </c>
      <c r="G99" s="6" t="s">
        <v>681</v>
      </c>
      <c r="H99" s="2" t="s">
        <v>681</v>
      </c>
      <c r="I99" s="1">
        <v>730</v>
      </c>
      <c r="J99" s="1">
        <v>20</v>
      </c>
      <c r="K99" s="20">
        <v>22</v>
      </c>
      <c r="L99" s="45">
        <f t="shared" si="7"/>
        <v>45832</v>
      </c>
      <c r="M99" s="46">
        <f t="shared" si="10"/>
        <v>45832</v>
      </c>
      <c r="O99" s="37" t="s">
        <v>808</v>
      </c>
      <c r="P99" s="20" t="s">
        <v>72</v>
      </c>
      <c r="Q99" s="43">
        <f t="shared" si="8"/>
        <v>1</v>
      </c>
      <c r="R99" s="43">
        <f t="shared" ca="1" si="9"/>
        <v>0</v>
      </c>
      <c r="S99" s="22"/>
      <c r="T99" s="25">
        <v>45102</v>
      </c>
      <c r="U99" s="25">
        <v>45127</v>
      </c>
      <c r="V99" s="31"/>
      <c r="FQ99" s="17"/>
    </row>
    <row r="100" spans="1:173" x14ac:dyDescent="0.3">
      <c r="A100" s="13">
        <v>97</v>
      </c>
      <c r="B100" s="1" t="s">
        <v>706</v>
      </c>
      <c r="C100" s="39">
        <f t="shared" ca="1" si="6"/>
        <v>0</v>
      </c>
      <c r="D100" t="s">
        <v>124</v>
      </c>
      <c r="E100" s="5" t="s">
        <v>221</v>
      </c>
      <c r="F100" s="7" t="s">
        <v>79</v>
      </c>
      <c r="G100" s="6" t="s">
        <v>681</v>
      </c>
      <c r="H100" s="2" t="s">
        <v>681</v>
      </c>
      <c r="I100" s="1">
        <v>180</v>
      </c>
      <c r="J100" s="4">
        <v>30</v>
      </c>
      <c r="L100" s="45">
        <f t="shared" si="7"/>
        <v>45308</v>
      </c>
      <c r="M100" s="46">
        <f t="shared" si="10"/>
        <v>45308</v>
      </c>
      <c r="Q100" s="43">
        <f t="shared" si="8"/>
        <v>0</v>
      </c>
      <c r="R100" s="43">
        <f t="shared" ca="1" si="9"/>
        <v>0</v>
      </c>
      <c r="S100" s="22"/>
      <c r="T100" s="25">
        <v>45128</v>
      </c>
    </row>
    <row r="101" spans="1:173" x14ac:dyDescent="0.3">
      <c r="A101" s="13">
        <v>98</v>
      </c>
      <c r="B101" s="1" t="s">
        <v>706</v>
      </c>
      <c r="C101" s="39">
        <f t="shared" ca="1" si="6"/>
        <v>0</v>
      </c>
      <c r="D101" t="s">
        <v>124</v>
      </c>
      <c r="E101" t="s">
        <v>37</v>
      </c>
      <c r="F101" s="7" t="s">
        <v>79</v>
      </c>
      <c r="G101" s="6" t="s">
        <v>681</v>
      </c>
      <c r="H101" s="2" t="s">
        <v>681</v>
      </c>
      <c r="I101" s="1">
        <v>730</v>
      </c>
      <c r="J101" s="1">
        <v>60</v>
      </c>
      <c r="L101" s="45">
        <f t="shared" si="7"/>
        <v>45859</v>
      </c>
      <c r="M101" s="46">
        <f t="shared" si="10"/>
        <v>45859</v>
      </c>
      <c r="Q101" s="43">
        <f t="shared" si="8"/>
        <v>0</v>
      </c>
      <c r="R101" s="43">
        <f t="shared" ca="1" si="9"/>
        <v>0</v>
      </c>
      <c r="S101" s="22"/>
      <c r="T101" s="25">
        <v>45129</v>
      </c>
    </row>
    <row r="102" spans="1:173" x14ac:dyDescent="0.3">
      <c r="A102" s="13">
        <v>99</v>
      </c>
      <c r="B102" s="1" t="s">
        <v>706</v>
      </c>
      <c r="C102" s="39">
        <f t="shared" ca="1" si="6"/>
        <v>0</v>
      </c>
      <c r="D102" t="s">
        <v>124</v>
      </c>
      <c r="E102" t="s">
        <v>223</v>
      </c>
      <c r="F102" s="7" t="s">
        <v>79</v>
      </c>
      <c r="G102" s="6" t="s">
        <v>681</v>
      </c>
      <c r="H102" s="2" t="s">
        <v>681</v>
      </c>
      <c r="I102" s="1">
        <v>730</v>
      </c>
      <c r="J102" s="1">
        <v>90</v>
      </c>
      <c r="L102" s="45">
        <f t="shared" si="7"/>
        <v>45860</v>
      </c>
      <c r="M102" s="46">
        <f t="shared" si="10"/>
        <v>45860</v>
      </c>
      <c r="Q102" s="43">
        <f t="shared" si="8"/>
        <v>0</v>
      </c>
      <c r="R102" s="43">
        <f t="shared" ca="1" si="9"/>
        <v>0</v>
      </c>
      <c r="S102" s="22"/>
      <c r="T102" s="25">
        <v>45130</v>
      </c>
    </row>
    <row r="103" spans="1:173" x14ac:dyDescent="0.3">
      <c r="A103" s="13">
        <v>100</v>
      </c>
      <c r="B103" s="1" t="s">
        <v>706</v>
      </c>
      <c r="C103" s="39">
        <f t="shared" ca="1" si="6"/>
        <v>0</v>
      </c>
      <c r="D103" t="s">
        <v>125</v>
      </c>
      <c r="E103" s="5" t="s">
        <v>221</v>
      </c>
      <c r="F103" s="7" t="s">
        <v>79</v>
      </c>
      <c r="G103" s="6" t="s">
        <v>681</v>
      </c>
      <c r="H103" s="2" t="s">
        <v>681</v>
      </c>
      <c r="I103" s="1">
        <v>180</v>
      </c>
      <c r="J103" s="4">
        <v>30</v>
      </c>
      <c r="L103" s="45">
        <f t="shared" si="7"/>
        <v>45311</v>
      </c>
      <c r="M103" s="46">
        <f t="shared" si="10"/>
        <v>45311</v>
      </c>
      <c r="Q103" s="43">
        <f t="shared" si="8"/>
        <v>0</v>
      </c>
      <c r="R103" s="43">
        <f t="shared" ca="1" si="9"/>
        <v>0</v>
      </c>
      <c r="S103" s="22"/>
      <c r="T103" s="25">
        <v>45131</v>
      </c>
    </row>
    <row r="104" spans="1:173" x14ac:dyDescent="0.3">
      <c r="A104" s="13">
        <v>101</v>
      </c>
      <c r="B104" s="1" t="s">
        <v>706</v>
      </c>
      <c r="C104" s="39">
        <f t="shared" ca="1" si="6"/>
        <v>0</v>
      </c>
      <c r="D104" t="s">
        <v>125</v>
      </c>
      <c r="E104" t="s">
        <v>37</v>
      </c>
      <c r="F104" s="7" t="s">
        <v>79</v>
      </c>
      <c r="G104" s="6" t="s">
        <v>681</v>
      </c>
      <c r="H104" s="2" t="s">
        <v>681</v>
      </c>
      <c r="I104" s="1">
        <v>730</v>
      </c>
      <c r="J104" s="1">
        <v>60</v>
      </c>
      <c r="L104" s="45">
        <f t="shared" si="7"/>
        <v>45862</v>
      </c>
      <c r="M104" s="46">
        <f t="shared" si="10"/>
        <v>45862</v>
      </c>
      <c r="Q104" s="43">
        <f t="shared" si="8"/>
        <v>0</v>
      </c>
      <c r="R104" s="43">
        <f t="shared" ca="1" si="9"/>
        <v>0</v>
      </c>
      <c r="S104" s="22"/>
      <c r="T104" s="25">
        <v>45132</v>
      </c>
    </row>
    <row r="105" spans="1:173" x14ac:dyDescent="0.3">
      <c r="A105" s="13">
        <v>102</v>
      </c>
      <c r="B105" s="1" t="s">
        <v>706</v>
      </c>
      <c r="C105" s="39">
        <f t="shared" ca="1" si="6"/>
        <v>0</v>
      </c>
      <c r="D105" t="s">
        <v>125</v>
      </c>
      <c r="E105" t="s">
        <v>223</v>
      </c>
      <c r="F105" s="7" t="s">
        <v>79</v>
      </c>
      <c r="G105" s="6" t="s">
        <v>681</v>
      </c>
      <c r="H105" s="2" t="s">
        <v>681</v>
      </c>
      <c r="I105" s="1">
        <v>730</v>
      </c>
      <c r="J105" s="1">
        <v>90</v>
      </c>
      <c r="L105" s="45">
        <f t="shared" si="7"/>
        <v>45863</v>
      </c>
      <c r="M105" s="46">
        <f t="shared" si="10"/>
        <v>45863</v>
      </c>
      <c r="Q105" s="43">
        <f t="shared" si="8"/>
        <v>0</v>
      </c>
      <c r="R105" s="43">
        <f t="shared" ca="1" si="9"/>
        <v>0</v>
      </c>
      <c r="S105" s="22"/>
      <c r="T105" s="25">
        <v>45133</v>
      </c>
    </row>
    <row r="106" spans="1:173" x14ac:dyDescent="0.3">
      <c r="A106" s="13">
        <v>103</v>
      </c>
      <c r="B106" s="1" t="s">
        <v>706</v>
      </c>
      <c r="C106" s="39">
        <f t="shared" ca="1" si="6"/>
        <v>0</v>
      </c>
      <c r="D106" t="s">
        <v>126</v>
      </c>
      <c r="E106" t="s">
        <v>144</v>
      </c>
      <c r="F106" s="7" t="s">
        <v>79</v>
      </c>
      <c r="G106" s="6" t="s">
        <v>681</v>
      </c>
      <c r="H106" s="2" t="s">
        <v>681</v>
      </c>
      <c r="I106" s="1">
        <v>365</v>
      </c>
      <c r="J106" s="1">
        <v>13</v>
      </c>
      <c r="L106" s="45">
        <f t="shared" si="7"/>
        <v>45499</v>
      </c>
      <c r="M106" s="46">
        <f t="shared" si="10"/>
        <v>45499</v>
      </c>
      <c r="Q106" s="43">
        <f t="shared" si="8"/>
        <v>0</v>
      </c>
      <c r="R106" s="43">
        <f t="shared" ca="1" si="9"/>
        <v>0</v>
      </c>
      <c r="S106" s="22"/>
      <c r="T106" s="25">
        <v>45134</v>
      </c>
    </row>
    <row r="107" spans="1:173" x14ac:dyDescent="0.3">
      <c r="A107" s="13">
        <v>104</v>
      </c>
      <c r="B107" s="1" t="s">
        <v>706</v>
      </c>
      <c r="C107" s="39">
        <f t="shared" ca="1" si="6"/>
        <v>0</v>
      </c>
      <c r="D107" t="s">
        <v>126</v>
      </c>
      <c r="E107" t="s">
        <v>182</v>
      </c>
      <c r="F107" s="7" t="s">
        <v>79</v>
      </c>
      <c r="G107" s="6" t="s">
        <v>681</v>
      </c>
      <c r="H107" s="2" t="s">
        <v>681</v>
      </c>
      <c r="I107" s="1">
        <v>100</v>
      </c>
      <c r="J107" s="1">
        <v>120</v>
      </c>
      <c r="L107" s="45">
        <f t="shared" si="7"/>
        <v>45235</v>
      </c>
      <c r="M107" s="46">
        <f t="shared" si="10"/>
        <v>45235</v>
      </c>
      <c r="Q107" s="43">
        <f t="shared" si="8"/>
        <v>0</v>
      </c>
      <c r="R107" s="43">
        <f t="shared" ca="1" si="9"/>
        <v>0</v>
      </c>
      <c r="S107" s="22"/>
      <c r="T107" s="25">
        <v>45135</v>
      </c>
    </row>
    <row r="108" spans="1:173" x14ac:dyDescent="0.3">
      <c r="A108" s="13">
        <v>105</v>
      </c>
      <c r="B108" s="1" t="s">
        <v>706</v>
      </c>
      <c r="C108" s="39">
        <f t="shared" ca="1" si="6"/>
        <v>1</v>
      </c>
      <c r="D108" t="s">
        <v>126</v>
      </c>
      <c r="E108" t="s">
        <v>183</v>
      </c>
      <c r="F108" s="7" t="s">
        <v>79</v>
      </c>
      <c r="G108" s="6" t="s">
        <v>681</v>
      </c>
      <c r="H108" s="2" t="s">
        <v>681</v>
      </c>
      <c r="I108" s="1">
        <v>1000</v>
      </c>
      <c r="J108" s="1">
        <v>120</v>
      </c>
      <c r="L108" s="45">
        <f t="shared" si="7"/>
        <v>45084</v>
      </c>
      <c r="M108" s="46">
        <f t="shared" si="10"/>
        <v>46136</v>
      </c>
      <c r="N108" s="50">
        <v>45084</v>
      </c>
      <c r="Q108" s="43">
        <f t="shared" si="8"/>
        <v>0</v>
      </c>
      <c r="R108" s="43">
        <f t="shared" ca="1" si="9"/>
        <v>0</v>
      </c>
      <c r="S108" s="22"/>
      <c r="T108" s="25">
        <v>45136</v>
      </c>
    </row>
    <row r="109" spans="1:173" x14ac:dyDescent="0.3">
      <c r="A109" s="13">
        <v>106</v>
      </c>
      <c r="B109" s="1" t="s">
        <v>706</v>
      </c>
      <c r="C109" s="39">
        <f t="shared" ca="1" si="6"/>
        <v>0</v>
      </c>
      <c r="D109" t="s">
        <v>126</v>
      </c>
      <c r="E109" t="s">
        <v>184</v>
      </c>
      <c r="F109" s="7" t="s">
        <v>79</v>
      </c>
      <c r="G109" s="6" t="s">
        <v>681</v>
      </c>
      <c r="H109" s="2" t="s">
        <v>681</v>
      </c>
      <c r="I109" s="1">
        <v>730</v>
      </c>
      <c r="J109" s="1">
        <v>15</v>
      </c>
      <c r="L109" s="45">
        <f t="shared" si="7"/>
        <v>45867</v>
      </c>
      <c r="M109" s="46">
        <f t="shared" si="10"/>
        <v>45867</v>
      </c>
      <c r="Q109" s="43">
        <f t="shared" si="8"/>
        <v>0</v>
      </c>
      <c r="R109" s="43">
        <f t="shared" ca="1" si="9"/>
        <v>0</v>
      </c>
      <c r="S109" s="22"/>
      <c r="T109" s="25">
        <v>45137</v>
      </c>
    </row>
    <row r="110" spans="1:173" x14ac:dyDescent="0.3">
      <c r="A110" s="13">
        <v>107</v>
      </c>
      <c r="B110" s="1" t="s">
        <v>706</v>
      </c>
      <c r="C110" s="39">
        <f t="shared" ca="1" si="6"/>
        <v>0</v>
      </c>
      <c r="D110" t="s">
        <v>126</v>
      </c>
      <c r="E110" t="s">
        <v>184</v>
      </c>
      <c r="F110" s="7" t="s">
        <v>79</v>
      </c>
      <c r="G110" s="6" t="s">
        <v>681</v>
      </c>
      <c r="H110" s="2" t="s">
        <v>681</v>
      </c>
      <c r="I110" s="1">
        <v>730</v>
      </c>
      <c r="J110" s="1">
        <v>15</v>
      </c>
      <c r="L110" s="45">
        <f t="shared" si="7"/>
        <v>45868</v>
      </c>
      <c r="M110" s="46">
        <f t="shared" si="10"/>
        <v>45868</v>
      </c>
      <c r="Q110" s="43">
        <f t="shared" si="8"/>
        <v>0</v>
      </c>
      <c r="R110" s="43">
        <f t="shared" ca="1" si="9"/>
        <v>0</v>
      </c>
      <c r="S110" s="22"/>
      <c r="T110" s="25">
        <v>45138</v>
      </c>
    </row>
    <row r="111" spans="1:173" x14ac:dyDescent="0.3">
      <c r="A111" s="13">
        <v>108</v>
      </c>
      <c r="B111" s="1" t="s">
        <v>706</v>
      </c>
      <c r="C111" s="39">
        <f t="shared" ca="1" si="6"/>
        <v>0</v>
      </c>
      <c r="D111" t="s">
        <v>126</v>
      </c>
      <c r="E111" t="s">
        <v>183</v>
      </c>
      <c r="F111" s="7" t="s">
        <v>79</v>
      </c>
      <c r="G111" s="6" t="s">
        <v>681</v>
      </c>
      <c r="H111" s="2" t="s">
        <v>681</v>
      </c>
      <c r="I111" s="1">
        <v>1000</v>
      </c>
      <c r="J111" s="1">
        <v>120</v>
      </c>
      <c r="L111" s="45">
        <f t="shared" si="7"/>
        <v>46139</v>
      </c>
      <c r="M111" s="46">
        <f t="shared" si="10"/>
        <v>46139</v>
      </c>
      <c r="Q111" s="43">
        <f t="shared" si="8"/>
        <v>0</v>
      </c>
      <c r="R111" s="43">
        <f t="shared" ca="1" si="9"/>
        <v>0</v>
      </c>
      <c r="S111" s="22"/>
      <c r="T111" s="25">
        <v>45139</v>
      </c>
    </row>
    <row r="112" spans="1:173" x14ac:dyDescent="0.3">
      <c r="A112" s="13">
        <v>109</v>
      </c>
      <c r="B112" s="1" t="s">
        <v>706</v>
      </c>
      <c r="C112" s="39">
        <f t="shared" ca="1" si="6"/>
        <v>0</v>
      </c>
      <c r="D112" t="s">
        <v>126</v>
      </c>
      <c r="E112" t="s">
        <v>185</v>
      </c>
      <c r="F112" s="7" t="s">
        <v>79</v>
      </c>
      <c r="G112" s="6" t="s">
        <v>681</v>
      </c>
      <c r="H112" s="2" t="s">
        <v>681</v>
      </c>
      <c r="I112" s="1">
        <v>100</v>
      </c>
      <c r="J112" s="1">
        <v>120</v>
      </c>
      <c r="L112" s="45">
        <f t="shared" si="7"/>
        <v>45240</v>
      </c>
      <c r="M112" s="46">
        <f t="shared" si="10"/>
        <v>45240</v>
      </c>
      <c r="Q112" s="43">
        <f t="shared" si="8"/>
        <v>0</v>
      </c>
      <c r="R112" s="43">
        <f t="shared" ca="1" si="9"/>
        <v>0</v>
      </c>
      <c r="S112" s="22"/>
      <c r="T112" s="25">
        <v>45140</v>
      </c>
    </row>
    <row r="113" spans="1:173" x14ac:dyDescent="0.3">
      <c r="A113" s="13">
        <v>110</v>
      </c>
      <c r="B113" s="1" t="s">
        <v>706</v>
      </c>
      <c r="C113" s="39">
        <f t="shared" ca="1" si="6"/>
        <v>1</v>
      </c>
      <c r="D113" t="s">
        <v>126</v>
      </c>
      <c r="E113" t="s">
        <v>152</v>
      </c>
      <c r="F113" s="7" t="s">
        <v>79</v>
      </c>
      <c r="G113" s="6" t="s">
        <v>681</v>
      </c>
      <c r="H113" s="2" t="s">
        <v>681</v>
      </c>
      <c r="I113" s="1">
        <v>100</v>
      </c>
      <c r="J113" s="1">
        <v>60</v>
      </c>
      <c r="L113" s="45">
        <f t="shared" si="7"/>
        <v>45084</v>
      </c>
      <c r="M113" s="46">
        <f t="shared" si="10"/>
        <v>45241</v>
      </c>
      <c r="N113" s="50">
        <v>45084</v>
      </c>
      <c r="Q113" s="43">
        <f t="shared" si="8"/>
        <v>0</v>
      </c>
      <c r="R113" s="43">
        <f t="shared" ca="1" si="9"/>
        <v>0</v>
      </c>
      <c r="S113" s="22"/>
      <c r="T113" s="25">
        <v>45141</v>
      </c>
    </row>
    <row r="114" spans="1:173" x14ac:dyDescent="0.3">
      <c r="A114" s="13">
        <v>111</v>
      </c>
      <c r="B114" s="1" t="s">
        <v>706</v>
      </c>
      <c r="C114" s="39">
        <f t="shared" ca="1" si="6"/>
        <v>0</v>
      </c>
      <c r="D114" t="s">
        <v>127</v>
      </c>
      <c r="E114" t="s">
        <v>161</v>
      </c>
      <c r="F114" s="7" t="s">
        <v>79</v>
      </c>
      <c r="G114" s="6" t="s">
        <v>681</v>
      </c>
      <c r="H114" s="2" t="s">
        <v>681</v>
      </c>
      <c r="I114" s="1">
        <v>90</v>
      </c>
      <c r="J114" s="1">
        <v>30</v>
      </c>
      <c r="L114" s="45">
        <f t="shared" si="7"/>
        <v>45232</v>
      </c>
      <c r="M114" s="46">
        <f t="shared" si="10"/>
        <v>45232</v>
      </c>
      <c r="Q114" s="43">
        <f t="shared" si="8"/>
        <v>0</v>
      </c>
      <c r="R114" s="43">
        <f t="shared" ca="1" si="9"/>
        <v>0</v>
      </c>
      <c r="S114" s="22"/>
      <c r="T114" s="25">
        <v>45142</v>
      </c>
    </row>
    <row r="115" spans="1:173" x14ac:dyDescent="0.3">
      <c r="A115" s="13">
        <v>112</v>
      </c>
      <c r="B115" s="1" t="s">
        <v>706</v>
      </c>
      <c r="C115" s="39">
        <f t="shared" ca="1" si="6"/>
        <v>0</v>
      </c>
      <c r="D115" t="s">
        <v>127</v>
      </c>
      <c r="E115" t="s">
        <v>180</v>
      </c>
      <c r="F115" s="7" t="s">
        <v>79</v>
      </c>
      <c r="G115" s="6" t="s">
        <v>681</v>
      </c>
      <c r="H115" s="2" t="s">
        <v>681</v>
      </c>
      <c r="I115" s="1">
        <v>730</v>
      </c>
      <c r="J115" s="1">
        <v>15</v>
      </c>
      <c r="L115" s="45">
        <f t="shared" si="7"/>
        <v>45873</v>
      </c>
      <c r="M115" s="46">
        <f t="shared" si="10"/>
        <v>45873</v>
      </c>
      <c r="Q115" s="43">
        <f t="shared" si="8"/>
        <v>0</v>
      </c>
      <c r="R115" s="43">
        <f t="shared" ca="1" si="9"/>
        <v>0</v>
      </c>
      <c r="S115" s="22"/>
      <c r="T115" s="25">
        <v>45143</v>
      </c>
    </row>
    <row r="116" spans="1:173" x14ac:dyDescent="0.3">
      <c r="A116" s="13">
        <v>113</v>
      </c>
      <c r="B116" s="1" t="s">
        <v>706</v>
      </c>
      <c r="C116" s="39">
        <f t="shared" ca="1" si="6"/>
        <v>0</v>
      </c>
      <c r="D116" t="s">
        <v>128</v>
      </c>
      <c r="E116" s="5" t="s">
        <v>221</v>
      </c>
      <c r="F116" s="7" t="s">
        <v>79</v>
      </c>
      <c r="G116" s="6" t="s">
        <v>681</v>
      </c>
      <c r="H116" s="2" t="s">
        <v>681</v>
      </c>
      <c r="I116" s="1">
        <v>180</v>
      </c>
      <c r="J116" s="4">
        <v>30</v>
      </c>
      <c r="L116" s="45">
        <f t="shared" si="7"/>
        <v>45324</v>
      </c>
      <c r="M116" s="46">
        <f t="shared" si="10"/>
        <v>45324</v>
      </c>
      <c r="Q116" s="43">
        <f t="shared" si="8"/>
        <v>0</v>
      </c>
      <c r="R116" s="43">
        <f t="shared" ca="1" si="9"/>
        <v>0</v>
      </c>
      <c r="S116" s="22"/>
      <c r="T116" s="25">
        <v>45144</v>
      </c>
    </row>
    <row r="117" spans="1:173" x14ac:dyDescent="0.3">
      <c r="A117" s="13">
        <v>114</v>
      </c>
      <c r="B117" s="1" t="s">
        <v>706</v>
      </c>
      <c r="C117" s="39">
        <f t="shared" ca="1" si="6"/>
        <v>0</v>
      </c>
      <c r="D117" t="s">
        <v>128</v>
      </c>
      <c r="E117" t="s">
        <v>37</v>
      </c>
      <c r="F117" s="7" t="s">
        <v>79</v>
      </c>
      <c r="G117" s="6" t="s">
        <v>681</v>
      </c>
      <c r="H117" s="2" t="s">
        <v>681</v>
      </c>
      <c r="I117" s="1">
        <v>730</v>
      </c>
      <c r="J117" s="1">
        <v>60</v>
      </c>
      <c r="L117" s="45">
        <f t="shared" si="7"/>
        <v>45875</v>
      </c>
      <c r="M117" s="46">
        <f t="shared" si="10"/>
        <v>45875</v>
      </c>
      <c r="Q117" s="43">
        <f t="shared" si="8"/>
        <v>0</v>
      </c>
      <c r="R117" s="43">
        <f t="shared" ca="1" si="9"/>
        <v>0</v>
      </c>
      <c r="S117" s="22"/>
      <c r="T117" s="25">
        <v>45145</v>
      </c>
    </row>
    <row r="118" spans="1:173" x14ac:dyDescent="0.3">
      <c r="A118" s="13">
        <v>115</v>
      </c>
      <c r="B118" s="1" t="s">
        <v>706</v>
      </c>
      <c r="C118" s="39">
        <f t="shared" ca="1" si="6"/>
        <v>0</v>
      </c>
      <c r="D118" t="s">
        <v>128</v>
      </c>
      <c r="E118" t="s">
        <v>223</v>
      </c>
      <c r="F118" s="7" t="s">
        <v>79</v>
      </c>
      <c r="G118" s="6" t="s">
        <v>681</v>
      </c>
      <c r="H118" s="2" t="s">
        <v>681</v>
      </c>
      <c r="I118" s="1">
        <v>730</v>
      </c>
      <c r="J118" s="1">
        <v>90</v>
      </c>
      <c r="L118" s="45">
        <f t="shared" si="7"/>
        <v>45876</v>
      </c>
      <c r="M118" s="46">
        <f t="shared" si="10"/>
        <v>45876</v>
      </c>
      <c r="Q118" s="43">
        <f t="shared" si="8"/>
        <v>0</v>
      </c>
      <c r="R118" s="43">
        <f t="shared" ca="1" si="9"/>
        <v>0</v>
      </c>
      <c r="S118" s="22"/>
      <c r="T118" s="25">
        <v>45146</v>
      </c>
    </row>
    <row r="119" spans="1:173" x14ac:dyDescent="0.3">
      <c r="A119" s="13">
        <v>116</v>
      </c>
      <c r="B119" s="1" t="s">
        <v>706</v>
      </c>
      <c r="C119" s="39">
        <f t="shared" ca="1" si="6"/>
        <v>0</v>
      </c>
      <c r="D119" t="s">
        <v>129</v>
      </c>
      <c r="E119" s="5" t="s">
        <v>221</v>
      </c>
      <c r="F119" s="7" t="s">
        <v>79</v>
      </c>
      <c r="G119" s="6" t="s">
        <v>681</v>
      </c>
      <c r="H119" s="2" t="s">
        <v>681</v>
      </c>
      <c r="I119" s="1">
        <v>180</v>
      </c>
      <c r="J119" s="4">
        <v>30</v>
      </c>
      <c r="L119" s="45">
        <f t="shared" si="7"/>
        <v>45327</v>
      </c>
      <c r="M119" s="46">
        <f t="shared" si="10"/>
        <v>45327</v>
      </c>
      <c r="Q119" s="43">
        <f t="shared" si="8"/>
        <v>0</v>
      </c>
      <c r="R119" s="43">
        <f t="shared" ca="1" si="9"/>
        <v>0</v>
      </c>
      <c r="S119" s="22"/>
      <c r="T119" s="25">
        <v>45147</v>
      </c>
    </row>
    <row r="120" spans="1:173" x14ac:dyDescent="0.3">
      <c r="A120" s="13">
        <v>117</v>
      </c>
      <c r="B120" s="1" t="s">
        <v>706</v>
      </c>
      <c r="C120" s="39">
        <f t="shared" ca="1" si="6"/>
        <v>0</v>
      </c>
      <c r="D120" t="s">
        <v>129</v>
      </c>
      <c r="E120" t="s">
        <v>37</v>
      </c>
      <c r="F120" s="7" t="s">
        <v>79</v>
      </c>
      <c r="G120" s="6" t="s">
        <v>681</v>
      </c>
      <c r="H120" s="2" t="s">
        <v>681</v>
      </c>
      <c r="I120" s="1">
        <v>730</v>
      </c>
      <c r="J120" s="1">
        <v>60</v>
      </c>
      <c r="L120" s="45">
        <f t="shared" si="7"/>
        <v>45878</v>
      </c>
      <c r="M120" s="46">
        <f t="shared" si="10"/>
        <v>45878</v>
      </c>
      <c r="Q120" s="43">
        <f t="shared" si="8"/>
        <v>0</v>
      </c>
      <c r="R120" s="43">
        <f t="shared" ca="1" si="9"/>
        <v>0</v>
      </c>
      <c r="S120" s="22"/>
      <c r="T120" s="25">
        <v>45148</v>
      </c>
    </row>
    <row r="121" spans="1:173" x14ac:dyDescent="0.3">
      <c r="A121" s="13">
        <v>118</v>
      </c>
      <c r="B121" s="1" t="s">
        <v>706</v>
      </c>
      <c r="C121" s="39">
        <f t="shared" ca="1" si="6"/>
        <v>1</v>
      </c>
      <c r="D121" t="s">
        <v>129</v>
      </c>
      <c r="E121" t="s">
        <v>223</v>
      </c>
      <c r="F121" s="7" t="s">
        <v>79</v>
      </c>
      <c r="G121" s="6" t="s">
        <v>681</v>
      </c>
      <c r="H121" s="2" t="s">
        <v>681</v>
      </c>
      <c r="I121" s="1">
        <v>730</v>
      </c>
      <c r="J121" s="1">
        <v>90</v>
      </c>
      <c r="L121" s="45">
        <f t="shared" si="7"/>
        <v>45084</v>
      </c>
      <c r="M121" s="46">
        <f t="shared" si="10"/>
        <v>45879</v>
      </c>
      <c r="N121" s="50">
        <v>45084</v>
      </c>
      <c r="Q121" s="43">
        <f t="shared" si="8"/>
        <v>0</v>
      </c>
      <c r="R121" s="43">
        <f t="shared" ca="1" si="9"/>
        <v>0</v>
      </c>
      <c r="S121" s="22"/>
      <c r="T121" s="25">
        <v>45149</v>
      </c>
    </row>
    <row r="122" spans="1:173" x14ac:dyDescent="0.3">
      <c r="A122" s="13">
        <v>119</v>
      </c>
      <c r="B122" s="1" t="s">
        <v>706</v>
      </c>
      <c r="C122" s="39">
        <f t="shared" ca="1" si="6"/>
        <v>0</v>
      </c>
      <c r="D122" t="s">
        <v>129</v>
      </c>
      <c r="E122" t="s">
        <v>180</v>
      </c>
      <c r="F122" s="7" t="s">
        <v>79</v>
      </c>
      <c r="G122" s="6" t="s">
        <v>681</v>
      </c>
      <c r="H122" s="2" t="s">
        <v>681</v>
      </c>
      <c r="I122" s="1">
        <v>730</v>
      </c>
      <c r="J122" s="1">
        <v>15</v>
      </c>
      <c r="L122" s="45">
        <f t="shared" si="7"/>
        <v>45880</v>
      </c>
      <c r="M122" s="46">
        <f t="shared" si="10"/>
        <v>45880</v>
      </c>
      <c r="Q122" s="43">
        <f t="shared" si="8"/>
        <v>0</v>
      </c>
      <c r="R122" s="43">
        <f t="shared" ca="1" si="9"/>
        <v>0</v>
      </c>
      <c r="S122" s="22"/>
      <c r="T122" s="25">
        <v>45150</v>
      </c>
    </row>
    <row r="123" spans="1:173" ht="28.8" x14ac:dyDescent="0.3">
      <c r="A123" s="13">
        <v>120</v>
      </c>
      <c r="B123" s="1" t="s">
        <v>706</v>
      </c>
      <c r="C123" s="39">
        <f t="shared" ca="1" si="6"/>
        <v>0</v>
      </c>
      <c r="D123" t="s">
        <v>129</v>
      </c>
      <c r="E123" s="5" t="s">
        <v>221</v>
      </c>
      <c r="F123" s="7" t="s">
        <v>79</v>
      </c>
      <c r="G123" s="6" t="s">
        <v>681</v>
      </c>
      <c r="H123" s="2" t="s">
        <v>681</v>
      </c>
      <c r="I123" s="1">
        <v>180</v>
      </c>
      <c r="J123" s="4">
        <v>30</v>
      </c>
      <c r="K123" s="20">
        <v>33</v>
      </c>
      <c r="L123" s="45">
        <f t="shared" si="7"/>
        <v>45284</v>
      </c>
      <c r="M123" s="46">
        <f t="shared" si="10"/>
        <v>45284</v>
      </c>
      <c r="O123" s="37" t="s">
        <v>812</v>
      </c>
      <c r="P123" s="20" t="s">
        <v>73</v>
      </c>
      <c r="Q123" s="43">
        <f t="shared" si="8"/>
        <v>1</v>
      </c>
      <c r="R123" s="43">
        <f t="shared" ca="1" si="9"/>
        <v>0</v>
      </c>
      <c r="S123" s="22"/>
      <c r="T123" s="25">
        <v>45104</v>
      </c>
      <c r="U123" s="25">
        <v>45151</v>
      </c>
      <c r="V123" s="31"/>
      <c r="FQ123" s="17"/>
    </row>
    <row r="124" spans="1:173" x14ac:dyDescent="0.3">
      <c r="A124" s="13">
        <v>121</v>
      </c>
      <c r="B124" s="1" t="s">
        <v>706</v>
      </c>
      <c r="C124" s="39">
        <f t="shared" ca="1" si="6"/>
        <v>0</v>
      </c>
      <c r="D124" t="s">
        <v>129</v>
      </c>
      <c r="E124" t="s">
        <v>177</v>
      </c>
      <c r="F124" s="7" t="s">
        <v>79</v>
      </c>
      <c r="G124" s="6" t="s">
        <v>681</v>
      </c>
      <c r="H124" s="2" t="s">
        <v>681</v>
      </c>
      <c r="I124" s="1">
        <v>730</v>
      </c>
      <c r="J124" s="4">
        <v>100</v>
      </c>
      <c r="L124" s="45">
        <f t="shared" si="7"/>
        <v>45882</v>
      </c>
      <c r="M124" s="46">
        <f t="shared" si="10"/>
        <v>45882</v>
      </c>
      <c r="Q124" s="43">
        <f t="shared" si="8"/>
        <v>0</v>
      </c>
      <c r="R124" s="43">
        <f t="shared" ca="1" si="9"/>
        <v>0</v>
      </c>
      <c r="S124" s="22"/>
      <c r="T124" s="25">
        <v>45152</v>
      </c>
    </row>
    <row r="125" spans="1:173" x14ac:dyDescent="0.3">
      <c r="A125" s="13">
        <v>122</v>
      </c>
      <c r="B125" s="1" t="s">
        <v>706</v>
      </c>
      <c r="C125" s="39">
        <f t="shared" ca="1" si="6"/>
        <v>0</v>
      </c>
      <c r="D125" t="s">
        <v>129</v>
      </c>
      <c r="E125" t="s">
        <v>186</v>
      </c>
      <c r="F125" s="7" t="s">
        <v>79</v>
      </c>
      <c r="G125" s="6" t="s">
        <v>681</v>
      </c>
      <c r="H125" s="2" t="s">
        <v>681</v>
      </c>
      <c r="I125" s="1">
        <v>730</v>
      </c>
      <c r="J125" s="1">
        <v>30</v>
      </c>
      <c r="L125" s="45">
        <f t="shared" si="7"/>
        <v>45883</v>
      </c>
      <c r="M125" s="46">
        <f t="shared" si="10"/>
        <v>45883</v>
      </c>
      <c r="Q125" s="43">
        <f t="shared" si="8"/>
        <v>0</v>
      </c>
      <c r="R125" s="43">
        <f t="shared" ca="1" si="9"/>
        <v>0</v>
      </c>
      <c r="S125" s="22"/>
      <c r="T125" s="25">
        <v>45153</v>
      </c>
    </row>
    <row r="126" spans="1:173" x14ac:dyDescent="0.3">
      <c r="A126" s="13">
        <v>123</v>
      </c>
      <c r="B126" s="1" t="s">
        <v>706</v>
      </c>
      <c r="C126" s="39">
        <f t="shared" ca="1" si="6"/>
        <v>0</v>
      </c>
      <c r="D126" t="s">
        <v>129</v>
      </c>
      <c r="E126" t="s">
        <v>170</v>
      </c>
      <c r="F126" s="7" t="s">
        <v>79</v>
      </c>
      <c r="G126" s="6" t="s">
        <v>681</v>
      </c>
      <c r="H126" s="2" t="s">
        <v>681</v>
      </c>
      <c r="I126" s="1">
        <v>730</v>
      </c>
      <c r="J126" s="1">
        <v>20</v>
      </c>
      <c r="L126" s="45">
        <f t="shared" si="7"/>
        <v>45884</v>
      </c>
      <c r="M126" s="46">
        <f t="shared" si="10"/>
        <v>45884</v>
      </c>
      <c r="Q126" s="43">
        <f t="shared" si="8"/>
        <v>0</v>
      </c>
      <c r="R126" s="43">
        <f t="shared" ca="1" si="9"/>
        <v>0</v>
      </c>
      <c r="S126" s="22"/>
      <c r="T126" s="25">
        <v>45154</v>
      </c>
    </row>
    <row r="127" spans="1:173" x14ac:dyDescent="0.3">
      <c r="A127" s="13">
        <v>124</v>
      </c>
      <c r="B127" s="1" t="s">
        <v>706</v>
      </c>
      <c r="C127" s="39">
        <f t="shared" ca="1" si="6"/>
        <v>0</v>
      </c>
      <c r="D127" t="s">
        <v>129</v>
      </c>
      <c r="E127" t="s">
        <v>172</v>
      </c>
      <c r="F127" s="7" t="s">
        <v>79</v>
      </c>
      <c r="G127" s="6" t="s">
        <v>681</v>
      </c>
      <c r="H127" s="2" t="s">
        <v>681</v>
      </c>
      <c r="I127" s="1">
        <v>730</v>
      </c>
      <c r="J127" s="1">
        <v>30</v>
      </c>
      <c r="L127" s="45">
        <f t="shared" si="7"/>
        <v>45885</v>
      </c>
      <c r="M127" s="46">
        <f t="shared" si="10"/>
        <v>45885</v>
      </c>
      <c r="Q127" s="43">
        <f t="shared" si="8"/>
        <v>0</v>
      </c>
      <c r="R127" s="43">
        <f t="shared" ca="1" si="9"/>
        <v>0</v>
      </c>
      <c r="S127" s="22"/>
      <c r="T127" s="25">
        <v>45155</v>
      </c>
    </row>
    <row r="128" spans="1:173" x14ac:dyDescent="0.3">
      <c r="A128" s="13">
        <v>125</v>
      </c>
      <c r="B128" s="1" t="s">
        <v>706</v>
      </c>
      <c r="C128" s="39">
        <f t="shared" ca="1" si="6"/>
        <v>1</v>
      </c>
      <c r="D128" t="s">
        <v>129</v>
      </c>
      <c r="E128" t="s">
        <v>187</v>
      </c>
      <c r="F128" s="7" t="s">
        <v>79</v>
      </c>
      <c r="G128" s="6" t="s">
        <v>681</v>
      </c>
      <c r="H128" s="2" t="s">
        <v>681</v>
      </c>
      <c r="I128" s="1">
        <v>730</v>
      </c>
      <c r="J128" s="1">
        <v>20</v>
      </c>
      <c r="L128" s="45">
        <f t="shared" si="7"/>
        <v>45084</v>
      </c>
      <c r="M128" s="46">
        <f t="shared" si="10"/>
        <v>45886</v>
      </c>
      <c r="N128" s="50">
        <v>45084</v>
      </c>
      <c r="Q128" s="43">
        <f t="shared" si="8"/>
        <v>0</v>
      </c>
      <c r="R128" s="43">
        <f t="shared" ca="1" si="9"/>
        <v>0</v>
      </c>
      <c r="S128" s="22"/>
      <c r="T128" s="25">
        <v>45156</v>
      </c>
    </row>
    <row r="129" spans="1:20" x14ac:dyDescent="0.3">
      <c r="A129" s="13">
        <v>126</v>
      </c>
      <c r="B129" s="1" t="s">
        <v>707</v>
      </c>
      <c r="C129" s="39">
        <f t="shared" ca="1" si="6"/>
        <v>0</v>
      </c>
      <c r="D129" t="s">
        <v>130</v>
      </c>
      <c r="E129" t="s">
        <v>221</v>
      </c>
      <c r="F129" s="7" t="s">
        <v>79</v>
      </c>
      <c r="G129" s="6" t="s">
        <v>681</v>
      </c>
      <c r="H129" s="2" t="s">
        <v>681</v>
      </c>
      <c r="I129" s="1">
        <v>180</v>
      </c>
      <c r="J129" s="4">
        <v>30</v>
      </c>
      <c r="L129" s="45">
        <f t="shared" si="7"/>
        <v>45337</v>
      </c>
      <c r="M129" s="46">
        <f t="shared" si="10"/>
        <v>45337</v>
      </c>
      <c r="Q129" s="43">
        <f t="shared" si="8"/>
        <v>0</v>
      </c>
      <c r="R129" s="43">
        <f t="shared" ca="1" si="9"/>
        <v>0</v>
      </c>
      <c r="S129" s="22"/>
      <c r="T129" s="25">
        <v>45157</v>
      </c>
    </row>
    <row r="130" spans="1:20" x14ac:dyDescent="0.3">
      <c r="A130" s="13">
        <v>127</v>
      </c>
      <c r="B130" s="1" t="s">
        <v>708</v>
      </c>
      <c r="C130" s="39">
        <f t="shared" ca="1" si="6"/>
        <v>0</v>
      </c>
      <c r="D130" t="s">
        <v>131</v>
      </c>
      <c r="E130" t="s">
        <v>221</v>
      </c>
      <c r="F130" s="7" t="s">
        <v>79</v>
      </c>
      <c r="G130" s="6" t="s">
        <v>681</v>
      </c>
      <c r="H130" s="2" t="s">
        <v>681</v>
      </c>
      <c r="I130" s="1">
        <v>180</v>
      </c>
      <c r="J130" s="4">
        <v>30</v>
      </c>
      <c r="L130" s="45">
        <f t="shared" si="7"/>
        <v>45338</v>
      </c>
      <c r="M130" s="46">
        <f t="shared" si="10"/>
        <v>45338</v>
      </c>
      <c r="Q130" s="43">
        <f t="shared" si="8"/>
        <v>0</v>
      </c>
      <c r="R130" s="43">
        <f t="shared" ca="1" si="9"/>
        <v>0</v>
      </c>
      <c r="S130" s="22"/>
      <c r="T130" s="25">
        <v>45158</v>
      </c>
    </row>
    <row r="131" spans="1:20" x14ac:dyDescent="0.3">
      <c r="A131" s="13">
        <v>128</v>
      </c>
      <c r="B131" s="1" t="s">
        <v>708</v>
      </c>
      <c r="C131" s="39">
        <f t="shared" ca="1" si="6"/>
        <v>0</v>
      </c>
      <c r="D131" t="s">
        <v>131</v>
      </c>
      <c r="E131" t="s">
        <v>37</v>
      </c>
      <c r="F131" s="7" t="s">
        <v>79</v>
      </c>
      <c r="G131" s="6" t="s">
        <v>681</v>
      </c>
      <c r="H131" s="2" t="s">
        <v>681</v>
      </c>
      <c r="I131" s="1">
        <v>730</v>
      </c>
      <c r="J131" s="1">
        <v>60</v>
      </c>
      <c r="L131" s="45">
        <f t="shared" si="7"/>
        <v>45889</v>
      </c>
      <c r="M131" s="46">
        <f t="shared" si="10"/>
        <v>45889</v>
      </c>
      <c r="Q131" s="43">
        <f t="shared" si="8"/>
        <v>0</v>
      </c>
      <c r="R131" s="43">
        <f t="shared" ca="1" si="9"/>
        <v>0</v>
      </c>
      <c r="S131" s="22"/>
      <c r="T131" s="25">
        <v>45159</v>
      </c>
    </row>
    <row r="132" spans="1:20" x14ac:dyDescent="0.3">
      <c r="A132" s="13">
        <v>129</v>
      </c>
      <c r="B132" s="1" t="s">
        <v>708</v>
      </c>
      <c r="C132" s="39">
        <f t="shared" ca="1" si="6"/>
        <v>0</v>
      </c>
      <c r="D132" t="s">
        <v>131</v>
      </c>
      <c r="E132" t="s">
        <v>223</v>
      </c>
      <c r="F132" s="7" t="s">
        <v>79</v>
      </c>
      <c r="G132" s="6" t="s">
        <v>681</v>
      </c>
      <c r="H132" s="2" t="s">
        <v>681</v>
      </c>
      <c r="I132" s="1">
        <v>730</v>
      </c>
      <c r="J132" s="1">
        <v>90</v>
      </c>
      <c r="L132" s="45">
        <f t="shared" si="7"/>
        <v>45890</v>
      </c>
      <c r="M132" s="46">
        <f t="shared" si="10"/>
        <v>45890</v>
      </c>
      <c r="Q132" s="43">
        <f t="shared" si="8"/>
        <v>0</v>
      </c>
      <c r="R132" s="43">
        <f t="shared" ca="1" si="9"/>
        <v>0</v>
      </c>
      <c r="S132" s="22"/>
      <c r="T132" s="25">
        <v>45160</v>
      </c>
    </row>
    <row r="133" spans="1:20" x14ac:dyDescent="0.3">
      <c r="A133" s="13">
        <v>130</v>
      </c>
      <c r="B133" s="1" t="s">
        <v>708</v>
      </c>
      <c r="C133" s="39">
        <f t="shared" ref="C133:C196" ca="1" si="11">IF(L133&lt;=$A$2,1,0)</f>
        <v>0</v>
      </c>
      <c r="D133" t="s">
        <v>132</v>
      </c>
      <c r="E133" t="s">
        <v>221</v>
      </c>
      <c r="F133" s="7" t="s">
        <v>79</v>
      </c>
      <c r="G133" s="6" t="s">
        <v>681</v>
      </c>
      <c r="H133" s="2" t="s">
        <v>681</v>
      </c>
      <c r="I133" s="1">
        <v>180</v>
      </c>
      <c r="J133" s="4">
        <v>30</v>
      </c>
      <c r="L133" s="45">
        <f t="shared" ref="L133:L196" si="12">IF(N133="",M133,N133)</f>
        <v>45341</v>
      </c>
      <c r="M133" s="46">
        <f t="shared" si="10"/>
        <v>45341</v>
      </c>
      <c r="Q133" s="43">
        <f t="shared" ref="Q133:Q196" si="13">IF(O133&lt;&gt;0,1,0)</f>
        <v>0</v>
      </c>
      <c r="R133" s="43">
        <f t="shared" ref="R133:R196" ca="1" si="14">IF(AND(L133&lt;($A$2+7), L133&gt;($A$2+6)),1,0)</f>
        <v>0</v>
      </c>
      <c r="S133" s="22"/>
      <c r="T133" s="25">
        <v>45161</v>
      </c>
    </row>
    <row r="134" spans="1:20" x14ac:dyDescent="0.3">
      <c r="A134" s="13">
        <v>131</v>
      </c>
      <c r="B134" s="1" t="s">
        <v>708</v>
      </c>
      <c r="C134" s="39">
        <f t="shared" ca="1" si="11"/>
        <v>0</v>
      </c>
      <c r="D134" t="s">
        <v>132</v>
      </c>
      <c r="E134" t="s">
        <v>37</v>
      </c>
      <c r="F134" s="7" t="s">
        <v>79</v>
      </c>
      <c r="G134" s="6" t="s">
        <v>681</v>
      </c>
      <c r="H134" s="2" t="s">
        <v>681</v>
      </c>
      <c r="I134" s="1">
        <v>730</v>
      </c>
      <c r="J134" s="1">
        <v>60</v>
      </c>
      <c r="L134" s="45">
        <f t="shared" si="12"/>
        <v>45892</v>
      </c>
      <c r="M134" s="46">
        <f t="shared" si="10"/>
        <v>45892</v>
      </c>
      <c r="Q134" s="43">
        <f t="shared" si="13"/>
        <v>0</v>
      </c>
      <c r="R134" s="43">
        <f t="shared" ca="1" si="14"/>
        <v>0</v>
      </c>
      <c r="S134" s="22"/>
      <c r="T134" s="25">
        <v>45162</v>
      </c>
    </row>
    <row r="135" spans="1:20" x14ac:dyDescent="0.3">
      <c r="A135" s="13">
        <v>132</v>
      </c>
      <c r="B135" s="1" t="s">
        <v>708</v>
      </c>
      <c r="C135" s="39">
        <f t="shared" ca="1" si="11"/>
        <v>0</v>
      </c>
      <c r="D135" t="s">
        <v>132</v>
      </c>
      <c r="E135" t="s">
        <v>223</v>
      </c>
      <c r="F135" s="7" t="s">
        <v>79</v>
      </c>
      <c r="G135" s="6" t="s">
        <v>681</v>
      </c>
      <c r="H135" s="2" t="s">
        <v>681</v>
      </c>
      <c r="I135" s="1">
        <v>730</v>
      </c>
      <c r="J135" s="1">
        <v>90</v>
      </c>
      <c r="L135" s="45">
        <f t="shared" si="12"/>
        <v>45893</v>
      </c>
      <c r="M135" s="46">
        <f t="shared" si="10"/>
        <v>45893</v>
      </c>
      <c r="Q135" s="43">
        <f t="shared" si="13"/>
        <v>0</v>
      </c>
      <c r="R135" s="43">
        <f t="shared" ca="1" si="14"/>
        <v>0</v>
      </c>
      <c r="S135" s="22"/>
      <c r="T135" s="25">
        <v>45163</v>
      </c>
    </row>
    <row r="136" spans="1:20" x14ac:dyDescent="0.3">
      <c r="A136" s="13">
        <v>133</v>
      </c>
      <c r="B136" s="1" t="s">
        <v>708</v>
      </c>
      <c r="C136" s="39">
        <f t="shared" ca="1" si="11"/>
        <v>0</v>
      </c>
      <c r="D136" t="s">
        <v>133</v>
      </c>
      <c r="E136" t="s">
        <v>221</v>
      </c>
      <c r="F136" s="7" t="s">
        <v>79</v>
      </c>
      <c r="G136" s="6" t="s">
        <v>681</v>
      </c>
      <c r="H136" s="2" t="s">
        <v>681</v>
      </c>
      <c r="I136" s="1">
        <v>180</v>
      </c>
      <c r="J136" s="4">
        <v>30</v>
      </c>
      <c r="L136" s="45">
        <f t="shared" si="12"/>
        <v>45344</v>
      </c>
      <c r="M136" s="46">
        <f t="shared" si="10"/>
        <v>45344</v>
      </c>
      <c r="Q136" s="43">
        <f t="shared" si="13"/>
        <v>0</v>
      </c>
      <c r="R136" s="43">
        <f t="shared" ca="1" si="14"/>
        <v>0</v>
      </c>
      <c r="S136" s="22"/>
      <c r="T136" s="25">
        <v>45164</v>
      </c>
    </row>
    <row r="137" spans="1:20" x14ac:dyDescent="0.3">
      <c r="A137" s="13">
        <v>134</v>
      </c>
      <c r="B137" s="1" t="s">
        <v>708</v>
      </c>
      <c r="C137" s="39">
        <f t="shared" ca="1" si="11"/>
        <v>1</v>
      </c>
      <c r="D137" t="s">
        <v>133</v>
      </c>
      <c r="E137" t="s">
        <v>186</v>
      </c>
      <c r="F137" s="7" t="s">
        <v>79</v>
      </c>
      <c r="G137" s="6" t="s">
        <v>681</v>
      </c>
      <c r="H137" s="2" t="s">
        <v>681</v>
      </c>
      <c r="I137" s="1">
        <v>730</v>
      </c>
      <c r="J137" s="1">
        <v>30</v>
      </c>
      <c r="L137" s="45">
        <f t="shared" si="12"/>
        <v>45084</v>
      </c>
      <c r="M137" s="46">
        <f t="shared" si="10"/>
        <v>45895</v>
      </c>
      <c r="N137" s="50">
        <v>45084</v>
      </c>
      <c r="Q137" s="43">
        <f t="shared" si="13"/>
        <v>0</v>
      </c>
      <c r="R137" s="43">
        <f t="shared" ca="1" si="14"/>
        <v>0</v>
      </c>
      <c r="S137" s="22"/>
      <c r="T137" s="25">
        <v>45165</v>
      </c>
    </row>
    <row r="138" spans="1:20" x14ac:dyDescent="0.3">
      <c r="A138" s="13">
        <v>135</v>
      </c>
      <c r="B138" s="1" t="s">
        <v>709</v>
      </c>
      <c r="C138" s="39">
        <f t="shared" ca="1" si="11"/>
        <v>0</v>
      </c>
      <c r="D138" t="s">
        <v>134</v>
      </c>
      <c r="E138" t="s">
        <v>144</v>
      </c>
      <c r="F138" s="7" t="s">
        <v>79</v>
      </c>
      <c r="G138" s="6" t="s">
        <v>681</v>
      </c>
      <c r="H138" s="2" t="s">
        <v>681</v>
      </c>
      <c r="I138" s="1">
        <v>365</v>
      </c>
      <c r="J138" s="1">
        <v>20</v>
      </c>
      <c r="L138" s="45">
        <f t="shared" si="12"/>
        <v>45531</v>
      </c>
      <c r="M138" s="46">
        <f t="shared" si="10"/>
        <v>45531</v>
      </c>
      <c r="Q138" s="43">
        <f t="shared" si="13"/>
        <v>0</v>
      </c>
      <c r="R138" s="43">
        <f t="shared" ca="1" si="14"/>
        <v>0</v>
      </c>
      <c r="S138" s="22"/>
      <c r="T138" s="25">
        <v>45166</v>
      </c>
    </row>
    <row r="139" spans="1:20" x14ac:dyDescent="0.3">
      <c r="A139" s="13">
        <v>136</v>
      </c>
      <c r="B139" s="1" t="s">
        <v>709</v>
      </c>
      <c r="C139" s="39">
        <f t="shared" ca="1" si="11"/>
        <v>1</v>
      </c>
      <c r="D139" t="s">
        <v>134</v>
      </c>
      <c r="E139" t="s">
        <v>145</v>
      </c>
      <c r="F139" s="7" t="s">
        <v>79</v>
      </c>
      <c r="G139" s="6" t="s">
        <v>681</v>
      </c>
      <c r="H139" s="2" t="s">
        <v>681</v>
      </c>
      <c r="I139" s="1">
        <v>1000</v>
      </c>
      <c r="J139" s="1">
        <v>30</v>
      </c>
      <c r="K139" s="20">
        <v>10</v>
      </c>
      <c r="L139" s="45">
        <f t="shared" si="12"/>
        <v>45084</v>
      </c>
      <c r="M139" s="46">
        <f t="shared" si="10"/>
        <v>46093</v>
      </c>
      <c r="N139" s="50">
        <v>45084</v>
      </c>
      <c r="Q139" s="43">
        <f t="shared" si="13"/>
        <v>0</v>
      </c>
      <c r="R139" s="43">
        <f t="shared" ca="1" si="14"/>
        <v>0</v>
      </c>
      <c r="S139" s="22"/>
      <c r="T139" s="25">
        <v>45093</v>
      </c>
    </row>
    <row r="140" spans="1:20" x14ac:dyDescent="0.3">
      <c r="A140" s="13">
        <v>137</v>
      </c>
      <c r="B140" s="1" t="s">
        <v>709</v>
      </c>
      <c r="C140" s="39">
        <f t="shared" ca="1" si="11"/>
        <v>0</v>
      </c>
      <c r="D140" t="s">
        <v>135</v>
      </c>
      <c r="E140" t="s">
        <v>221</v>
      </c>
      <c r="F140" s="7" t="s">
        <v>79</v>
      </c>
      <c r="G140" s="6" t="s">
        <v>681</v>
      </c>
      <c r="H140" s="2" t="s">
        <v>681</v>
      </c>
      <c r="I140" s="1">
        <v>180</v>
      </c>
      <c r="J140" s="4">
        <v>30</v>
      </c>
      <c r="L140" s="45">
        <f t="shared" si="12"/>
        <v>45348</v>
      </c>
      <c r="M140" s="46">
        <f t="shared" si="10"/>
        <v>45348</v>
      </c>
      <c r="Q140" s="43">
        <f t="shared" si="13"/>
        <v>0</v>
      </c>
      <c r="R140" s="43">
        <f t="shared" ca="1" si="14"/>
        <v>0</v>
      </c>
      <c r="S140" s="22"/>
      <c r="T140" s="25">
        <v>45168</v>
      </c>
    </row>
    <row r="141" spans="1:20" x14ac:dyDescent="0.3">
      <c r="A141" s="13">
        <v>138</v>
      </c>
      <c r="B141" s="1" t="s">
        <v>709</v>
      </c>
      <c r="C141" s="39">
        <f t="shared" ca="1" si="11"/>
        <v>0</v>
      </c>
      <c r="D141" t="s">
        <v>135</v>
      </c>
      <c r="E141" t="s">
        <v>11</v>
      </c>
      <c r="F141" s="7" t="s">
        <v>79</v>
      </c>
      <c r="G141" s="6" t="s">
        <v>681</v>
      </c>
      <c r="H141" s="2" t="s">
        <v>681</v>
      </c>
      <c r="I141" s="1">
        <v>730</v>
      </c>
      <c r="J141" s="4">
        <v>100</v>
      </c>
      <c r="L141" s="45">
        <f t="shared" si="12"/>
        <v>45899</v>
      </c>
      <c r="M141" s="46">
        <f t="shared" si="10"/>
        <v>45899</v>
      </c>
      <c r="Q141" s="43">
        <f t="shared" si="13"/>
        <v>0</v>
      </c>
      <c r="R141" s="43">
        <f t="shared" ca="1" si="14"/>
        <v>0</v>
      </c>
      <c r="S141" s="22"/>
      <c r="T141" s="25">
        <v>45169</v>
      </c>
    </row>
    <row r="142" spans="1:20" x14ac:dyDescent="0.3">
      <c r="A142" s="13">
        <v>139</v>
      </c>
      <c r="B142" s="1" t="s">
        <v>709</v>
      </c>
      <c r="C142" s="39">
        <f t="shared" ca="1" si="11"/>
        <v>0</v>
      </c>
      <c r="D142" t="s">
        <v>135</v>
      </c>
      <c r="E142" t="s">
        <v>12</v>
      </c>
      <c r="F142" s="7" t="s">
        <v>79</v>
      </c>
      <c r="G142" s="6" t="s">
        <v>681</v>
      </c>
      <c r="H142" s="2" t="s">
        <v>681</v>
      </c>
      <c r="I142" s="1">
        <v>730</v>
      </c>
      <c r="J142" s="1">
        <v>120</v>
      </c>
      <c r="L142" s="45">
        <f t="shared" si="12"/>
        <v>45900</v>
      </c>
      <c r="M142" s="46">
        <f t="shared" si="10"/>
        <v>45900</v>
      </c>
      <c r="Q142" s="43">
        <f t="shared" si="13"/>
        <v>0</v>
      </c>
      <c r="R142" s="43">
        <f t="shared" ca="1" si="14"/>
        <v>0</v>
      </c>
      <c r="S142" s="22"/>
      <c r="T142" s="25">
        <v>45170</v>
      </c>
    </row>
    <row r="143" spans="1:20" x14ac:dyDescent="0.3">
      <c r="A143" s="13">
        <v>140</v>
      </c>
      <c r="B143" s="1" t="s">
        <v>709</v>
      </c>
      <c r="C143" s="39">
        <f t="shared" ca="1" si="11"/>
        <v>0</v>
      </c>
      <c r="D143" t="s">
        <v>135</v>
      </c>
      <c r="E143" t="s">
        <v>170</v>
      </c>
      <c r="F143" s="7" t="s">
        <v>79</v>
      </c>
      <c r="G143" s="6" t="s">
        <v>681</v>
      </c>
      <c r="H143" s="2" t="s">
        <v>681</v>
      </c>
      <c r="I143" s="1">
        <v>730</v>
      </c>
      <c r="J143" s="1">
        <v>20</v>
      </c>
      <c r="L143" s="45">
        <f t="shared" si="12"/>
        <v>45901</v>
      </c>
      <c r="M143" s="46">
        <f t="shared" si="10"/>
        <v>45901</v>
      </c>
      <c r="Q143" s="43">
        <f t="shared" si="13"/>
        <v>0</v>
      </c>
      <c r="R143" s="43">
        <f t="shared" ca="1" si="14"/>
        <v>0</v>
      </c>
      <c r="S143" s="22"/>
      <c r="T143" s="25">
        <v>45171</v>
      </c>
    </row>
    <row r="144" spans="1:20" x14ac:dyDescent="0.3">
      <c r="A144" s="13">
        <v>141</v>
      </c>
      <c r="B144" s="1" t="s">
        <v>709</v>
      </c>
      <c r="C144" s="39">
        <f t="shared" ca="1" si="11"/>
        <v>0</v>
      </c>
      <c r="D144" t="s">
        <v>135</v>
      </c>
      <c r="E144" t="s">
        <v>172</v>
      </c>
      <c r="F144" s="7" t="s">
        <v>79</v>
      </c>
      <c r="G144" s="6" t="s">
        <v>681</v>
      </c>
      <c r="H144" s="2" t="s">
        <v>681</v>
      </c>
      <c r="I144" s="1">
        <v>730</v>
      </c>
      <c r="J144" s="1">
        <v>30</v>
      </c>
      <c r="L144" s="45">
        <f t="shared" si="12"/>
        <v>45902</v>
      </c>
      <c r="M144" s="46">
        <f t="shared" si="10"/>
        <v>45902</v>
      </c>
      <c r="Q144" s="43">
        <f t="shared" si="13"/>
        <v>0</v>
      </c>
      <c r="R144" s="43">
        <f t="shared" ca="1" si="14"/>
        <v>0</v>
      </c>
      <c r="S144" s="22"/>
      <c r="T144" s="25">
        <v>45172</v>
      </c>
    </row>
    <row r="145" spans="1:20" x14ac:dyDescent="0.3">
      <c r="A145" s="13">
        <v>142</v>
      </c>
      <c r="B145" s="1" t="s">
        <v>709</v>
      </c>
      <c r="C145" s="39">
        <f t="shared" ca="1" si="11"/>
        <v>0</v>
      </c>
      <c r="D145" t="s">
        <v>135</v>
      </c>
      <c r="E145" t="s">
        <v>180</v>
      </c>
      <c r="F145" s="7" t="s">
        <v>79</v>
      </c>
      <c r="G145" s="6" t="s">
        <v>681</v>
      </c>
      <c r="H145" s="2" t="s">
        <v>681</v>
      </c>
      <c r="I145" s="1">
        <v>730</v>
      </c>
      <c r="J145" s="1">
        <v>15</v>
      </c>
      <c r="L145" s="45">
        <f t="shared" si="12"/>
        <v>45903</v>
      </c>
      <c r="M145" s="46">
        <f t="shared" si="10"/>
        <v>45903</v>
      </c>
      <c r="Q145" s="43">
        <f t="shared" si="13"/>
        <v>0</v>
      </c>
      <c r="R145" s="43">
        <f t="shared" ca="1" si="14"/>
        <v>0</v>
      </c>
      <c r="S145" s="22"/>
      <c r="T145" s="25">
        <v>45173</v>
      </c>
    </row>
    <row r="146" spans="1:20" x14ac:dyDescent="0.3">
      <c r="A146" s="13">
        <v>143</v>
      </c>
      <c r="B146" s="1" t="s">
        <v>709</v>
      </c>
      <c r="C146" s="39">
        <f t="shared" ca="1" si="11"/>
        <v>0</v>
      </c>
      <c r="D146" t="s">
        <v>37</v>
      </c>
      <c r="E146" t="s">
        <v>148</v>
      </c>
      <c r="F146" s="7" t="s">
        <v>79</v>
      </c>
      <c r="G146" s="6" t="s">
        <v>681</v>
      </c>
      <c r="H146" s="2" t="s">
        <v>681</v>
      </c>
      <c r="I146" s="1">
        <v>730</v>
      </c>
      <c r="J146" s="1">
        <v>30</v>
      </c>
      <c r="L146" s="45">
        <f t="shared" si="12"/>
        <v>45904</v>
      </c>
      <c r="M146" s="46">
        <f t="shared" si="10"/>
        <v>45904</v>
      </c>
      <c r="Q146" s="43">
        <f t="shared" si="13"/>
        <v>0</v>
      </c>
      <c r="R146" s="43">
        <f t="shared" ca="1" si="14"/>
        <v>0</v>
      </c>
      <c r="S146" s="22"/>
      <c r="T146" s="25">
        <v>45174</v>
      </c>
    </row>
    <row r="147" spans="1:20" x14ac:dyDescent="0.3">
      <c r="A147" s="13">
        <v>144</v>
      </c>
      <c r="B147" s="1" t="s">
        <v>709</v>
      </c>
      <c r="C147" s="39">
        <f t="shared" ca="1" si="11"/>
        <v>1</v>
      </c>
      <c r="D147" t="s">
        <v>37</v>
      </c>
      <c r="E147" t="s">
        <v>172</v>
      </c>
      <c r="F147" s="7" t="s">
        <v>79</v>
      </c>
      <c r="G147" s="6" t="s">
        <v>681</v>
      </c>
      <c r="H147" s="2" t="s">
        <v>681</v>
      </c>
      <c r="I147" s="1">
        <v>730</v>
      </c>
      <c r="J147" s="1">
        <v>30</v>
      </c>
      <c r="L147" s="45">
        <f t="shared" si="12"/>
        <v>45084</v>
      </c>
      <c r="M147" s="46">
        <f t="shared" si="10"/>
        <v>45905</v>
      </c>
      <c r="N147" s="50">
        <v>45084</v>
      </c>
      <c r="Q147" s="43">
        <f t="shared" si="13"/>
        <v>0</v>
      </c>
      <c r="R147" s="43">
        <f t="shared" ca="1" si="14"/>
        <v>0</v>
      </c>
      <c r="S147" s="22"/>
      <c r="T147" s="25">
        <v>45175</v>
      </c>
    </row>
    <row r="148" spans="1:20" x14ac:dyDescent="0.3">
      <c r="A148" s="13">
        <v>145</v>
      </c>
      <c r="B148" s="1" t="s">
        <v>84</v>
      </c>
      <c r="C148" s="39">
        <f t="shared" ca="1" si="11"/>
        <v>0</v>
      </c>
      <c r="D148" t="s">
        <v>136</v>
      </c>
      <c r="E148" t="s">
        <v>189</v>
      </c>
      <c r="F148" s="7" t="s">
        <v>79</v>
      </c>
      <c r="G148" s="6" t="s">
        <v>681</v>
      </c>
      <c r="H148" s="2" t="s">
        <v>681</v>
      </c>
      <c r="I148" s="1">
        <v>365</v>
      </c>
      <c r="J148" s="1">
        <v>30</v>
      </c>
      <c r="L148" s="45">
        <f t="shared" si="12"/>
        <v>45541</v>
      </c>
      <c r="M148" s="46">
        <f t="shared" si="10"/>
        <v>45541</v>
      </c>
      <c r="Q148" s="43">
        <f t="shared" si="13"/>
        <v>0</v>
      </c>
      <c r="R148" s="43">
        <f t="shared" ca="1" si="14"/>
        <v>0</v>
      </c>
      <c r="S148" s="22"/>
      <c r="T148" s="25">
        <v>45176</v>
      </c>
    </row>
    <row r="149" spans="1:20" x14ac:dyDescent="0.3">
      <c r="A149" s="13">
        <v>146</v>
      </c>
      <c r="B149" s="1" t="s">
        <v>710</v>
      </c>
      <c r="C149" s="39">
        <f t="shared" ca="1" si="11"/>
        <v>0</v>
      </c>
      <c r="D149" t="s">
        <v>85</v>
      </c>
      <c r="E149" t="s">
        <v>205</v>
      </c>
      <c r="F149" s="7" t="s">
        <v>79</v>
      </c>
      <c r="G149" s="6" t="s">
        <v>681</v>
      </c>
      <c r="H149" s="2" t="s">
        <v>681</v>
      </c>
      <c r="I149" s="1">
        <v>730</v>
      </c>
      <c r="J149" s="1">
        <v>60</v>
      </c>
      <c r="L149" s="45">
        <f t="shared" si="12"/>
        <v>45907</v>
      </c>
      <c r="M149" s="46">
        <f t="shared" si="10"/>
        <v>45907</v>
      </c>
      <c r="Q149" s="43">
        <f t="shared" si="13"/>
        <v>0</v>
      </c>
      <c r="R149" s="43">
        <f t="shared" ca="1" si="14"/>
        <v>0</v>
      </c>
      <c r="S149" s="22"/>
      <c r="T149" s="25">
        <v>45177</v>
      </c>
    </row>
    <row r="150" spans="1:20" x14ac:dyDescent="0.3">
      <c r="A150" s="13">
        <v>147</v>
      </c>
      <c r="B150" s="1" t="s">
        <v>710</v>
      </c>
      <c r="C150" s="39">
        <f t="shared" ca="1" si="11"/>
        <v>0</v>
      </c>
      <c r="D150" t="s">
        <v>85</v>
      </c>
      <c r="E150" t="s">
        <v>190</v>
      </c>
      <c r="F150" s="7" t="s">
        <v>79</v>
      </c>
      <c r="G150" s="6" t="s">
        <v>681</v>
      </c>
      <c r="H150" s="2" t="s">
        <v>681</v>
      </c>
      <c r="I150" s="1">
        <v>730</v>
      </c>
      <c r="J150" s="1">
        <v>60</v>
      </c>
      <c r="L150" s="45">
        <f t="shared" si="12"/>
        <v>45908</v>
      </c>
      <c r="M150" s="46">
        <f t="shared" si="10"/>
        <v>45908</v>
      </c>
      <c r="Q150" s="43">
        <f t="shared" si="13"/>
        <v>0</v>
      </c>
      <c r="R150" s="43">
        <f t="shared" ca="1" si="14"/>
        <v>0</v>
      </c>
      <c r="S150" s="22"/>
      <c r="T150" s="25">
        <v>45178</v>
      </c>
    </row>
    <row r="151" spans="1:20" x14ac:dyDescent="0.3">
      <c r="A151" s="13">
        <v>148</v>
      </c>
      <c r="B151" s="1" t="s">
        <v>710</v>
      </c>
      <c r="C151" s="39">
        <f t="shared" ca="1" si="11"/>
        <v>0</v>
      </c>
      <c r="D151" t="s">
        <v>85</v>
      </c>
      <c r="E151" t="s">
        <v>142</v>
      </c>
      <c r="F151" s="7" t="s">
        <v>79</v>
      </c>
      <c r="G151" s="6" t="s">
        <v>681</v>
      </c>
      <c r="H151" s="2" t="s">
        <v>681</v>
      </c>
      <c r="I151" s="1">
        <v>365</v>
      </c>
      <c r="J151" s="1">
        <v>60</v>
      </c>
      <c r="L151" s="45">
        <f t="shared" si="12"/>
        <v>45544</v>
      </c>
      <c r="M151" s="46">
        <f t="shared" si="10"/>
        <v>45544</v>
      </c>
      <c r="Q151" s="43">
        <f t="shared" si="13"/>
        <v>0</v>
      </c>
      <c r="R151" s="43">
        <f t="shared" ca="1" si="14"/>
        <v>0</v>
      </c>
      <c r="S151" s="22"/>
      <c r="T151" s="25">
        <v>45179</v>
      </c>
    </row>
    <row r="152" spans="1:20" x14ac:dyDescent="0.3">
      <c r="A152" s="13">
        <v>149</v>
      </c>
      <c r="B152" s="1" t="s">
        <v>710</v>
      </c>
      <c r="C152" s="39">
        <f t="shared" ca="1" si="11"/>
        <v>0</v>
      </c>
      <c r="D152" t="s">
        <v>85</v>
      </c>
      <c r="E152" t="s">
        <v>191</v>
      </c>
      <c r="F152" s="7" t="s">
        <v>79</v>
      </c>
      <c r="G152" s="6" t="s">
        <v>681</v>
      </c>
      <c r="H152" s="2" t="s">
        <v>681</v>
      </c>
      <c r="I152" s="1">
        <v>1000</v>
      </c>
      <c r="J152" s="1">
        <v>120</v>
      </c>
      <c r="L152" s="45">
        <f t="shared" si="12"/>
        <v>46180</v>
      </c>
      <c r="M152" s="46">
        <f t="shared" si="10"/>
        <v>46180</v>
      </c>
      <c r="Q152" s="43">
        <f t="shared" si="13"/>
        <v>0</v>
      </c>
      <c r="R152" s="43">
        <f t="shared" ca="1" si="14"/>
        <v>0</v>
      </c>
      <c r="S152" s="22"/>
      <c r="T152" s="25">
        <v>45180</v>
      </c>
    </row>
    <row r="153" spans="1:20" x14ac:dyDescent="0.3">
      <c r="A153" s="13">
        <v>150</v>
      </c>
      <c r="B153" s="1" t="s">
        <v>710</v>
      </c>
      <c r="C153" s="39">
        <f t="shared" ca="1" si="11"/>
        <v>1</v>
      </c>
      <c r="D153" t="s">
        <v>85</v>
      </c>
      <c r="E153" t="s">
        <v>192</v>
      </c>
      <c r="F153" s="7" t="s">
        <v>79</v>
      </c>
      <c r="G153" s="6" t="s">
        <v>681</v>
      </c>
      <c r="H153" s="2" t="s">
        <v>681</v>
      </c>
      <c r="I153" s="1">
        <v>1000</v>
      </c>
      <c r="J153" s="1">
        <v>120</v>
      </c>
      <c r="L153" s="45">
        <f t="shared" si="12"/>
        <v>45084</v>
      </c>
      <c r="M153" s="46">
        <f t="shared" si="10"/>
        <v>46181</v>
      </c>
      <c r="N153" s="50">
        <v>45084</v>
      </c>
      <c r="Q153" s="43">
        <f t="shared" si="13"/>
        <v>0</v>
      </c>
      <c r="R153" s="43">
        <f t="shared" ca="1" si="14"/>
        <v>0</v>
      </c>
      <c r="S153" s="22"/>
      <c r="T153" s="25">
        <v>45181</v>
      </c>
    </row>
    <row r="154" spans="1:20" x14ac:dyDescent="0.3">
      <c r="A154" s="13">
        <v>151</v>
      </c>
      <c r="B154" s="1" t="s">
        <v>710</v>
      </c>
      <c r="C154" s="39">
        <f t="shared" ca="1" si="11"/>
        <v>0</v>
      </c>
      <c r="D154" t="s">
        <v>86</v>
      </c>
      <c r="E154" t="s">
        <v>193</v>
      </c>
      <c r="F154" s="7" t="s">
        <v>79</v>
      </c>
      <c r="G154" s="6" t="s">
        <v>681</v>
      </c>
      <c r="H154" s="2" t="s">
        <v>681</v>
      </c>
      <c r="I154" s="1">
        <v>730</v>
      </c>
      <c r="J154" s="1">
        <v>60</v>
      </c>
      <c r="L154" s="45">
        <f t="shared" si="12"/>
        <v>45912</v>
      </c>
      <c r="M154" s="46">
        <f t="shared" si="10"/>
        <v>45912</v>
      </c>
      <c r="Q154" s="43">
        <f t="shared" si="13"/>
        <v>0</v>
      </c>
      <c r="R154" s="43">
        <f t="shared" ca="1" si="14"/>
        <v>0</v>
      </c>
      <c r="S154" s="22"/>
      <c r="T154" s="25">
        <v>45182</v>
      </c>
    </row>
    <row r="155" spans="1:20" x14ac:dyDescent="0.3">
      <c r="A155" s="13">
        <v>152</v>
      </c>
      <c r="B155" s="1" t="s">
        <v>710</v>
      </c>
      <c r="C155" s="39">
        <f t="shared" ca="1" si="11"/>
        <v>0</v>
      </c>
      <c r="D155" t="s">
        <v>86</v>
      </c>
      <c r="E155" t="s">
        <v>194</v>
      </c>
      <c r="F155" s="7" t="s">
        <v>79</v>
      </c>
      <c r="G155" s="6" t="s">
        <v>681</v>
      </c>
      <c r="H155" s="2" t="s">
        <v>681</v>
      </c>
      <c r="I155" s="1">
        <v>730</v>
      </c>
      <c r="J155" s="1">
        <v>60</v>
      </c>
      <c r="L155" s="45">
        <f t="shared" si="12"/>
        <v>45913</v>
      </c>
      <c r="M155" s="46">
        <f t="shared" si="10"/>
        <v>45913</v>
      </c>
      <c r="Q155" s="43">
        <f t="shared" si="13"/>
        <v>0</v>
      </c>
      <c r="R155" s="43">
        <f t="shared" ca="1" si="14"/>
        <v>0</v>
      </c>
      <c r="S155" s="22"/>
      <c r="T155" s="25">
        <v>45183</v>
      </c>
    </row>
    <row r="156" spans="1:20" x14ac:dyDescent="0.3">
      <c r="A156" s="13">
        <v>153</v>
      </c>
      <c r="B156" s="1" t="s">
        <v>710</v>
      </c>
      <c r="C156" s="39">
        <f t="shared" ca="1" si="11"/>
        <v>0</v>
      </c>
      <c r="D156" t="s">
        <v>86</v>
      </c>
      <c r="E156" t="s">
        <v>195</v>
      </c>
      <c r="F156" s="7" t="s">
        <v>79</v>
      </c>
      <c r="G156" s="6" t="s">
        <v>681</v>
      </c>
      <c r="H156" s="2" t="s">
        <v>681</v>
      </c>
      <c r="I156" s="1">
        <v>1000</v>
      </c>
      <c r="J156" s="1">
        <v>180</v>
      </c>
      <c r="L156" s="45">
        <f t="shared" si="12"/>
        <v>46092</v>
      </c>
      <c r="M156" s="46">
        <f t="shared" si="10"/>
        <v>46092</v>
      </c>
      <c r="Q156" s="43">
        <f t="shared" si="13"/>
        <v>0</v>
      </c>
      <c r="R156" s="43">
        <f t="shared" ca="1" si="14"/>
        <v>0</v>
      </c>
      <c r="S156" s="22"/>
      <c r="T156" s="25">
        <v>45092</v>
      </c>
    </row>
    <row r="157" spans="1:20" x14ac:dyDescent="0.3">
      <c r="A157" s="13">
        <v>154</v>
      </c>
      <c r="B157" s="1" t="s">
        <v>710</v>
      </c>
      <c r="C157" s="39">
        <f t="shared" ca="1" si="11"/>
        <v>0</v>
      </c>
      <c r="D157" t="s">
        <v>86</v>
      </c>
      <c r="E157" t="s">
        <v>191</v>
      </c>
      <c r="F157" s="7" t="s">
        <v>79</v>
      </c>
      <c r="G157" s="6" t="s">
        <v>681</v>
      </c>
      <c r="H157" s="2" t="s">
        <v>681</v>
      </c>
      <c r="I157" s="1">
        <v>1000</v>
      </c>
      <c r="J157" s="1">
        <v>120</v>
      </c>
      <c r="L157" s="45">
        <f t="shared" si="12"/>
        <v>46185</v>
      </c>
      <c r="M157" s="46">
        <f t="shared" si="10"/>
        <v>46185</v>
      </c>
      <c r="Q157" s="43">
        <f t="shared" si="13"/>
        <v>0</v>
      </c>
      <c r="R157" s="43">
        <f t="shared" ca="1" si="14"/>
        <v>0</v>
      </c>
      <c r="S157" s="22"/>
      <c r="T157" s="25">
        <v>45185</v>
      </c>
    </row>
    <row r="158" spans="1:20" x14ac:dyDescent="0.3">
      <c r="A158" s="13">
        <v>155</v>
      </c>
      <c r="B158" s="1" t="s">
        <v>710</v>
      </c>
      <c r="C158" s="39">
        <f t="shared" ca="1" si="11"/>
        <v>0</v>
      </c>
      <c r="D158" t="s">
        <v>86</v>
      </c>
      <c r="E158" t="s">
        <v>196</v>
      </c>
      <c r="F158" s="7" t="s">
        <v>79</v>
      </c>
      <c r="G158" s="6" t="s">
        <v>681</v>
      </c>
      <c r="H158" s="2" t="s">
        <v>681</v>
      </c>
      <c r="I158" s="1">
        <v>1000</v>
      </c>
      <c r="J158" s="1">
        <v>120</v>
      </c>
      <c r="L158" s="45">
        <f t="shared" si="12"/>
        <v>46186</v>
      </c>
      <c r="M158" s="46">
        <f t="shared" si="10"/>
        <v>46186</v>
      </c>
      <c r="Q158" s="43">
        <f t="shared" si="13"/>
        <v>0</v>
      </c>
      <c r="R158" s="43">
        <f t="shared" ca="1" si="14"/>
        <v>0</v>
      </c>
      <c r="S158" s="22"/>
      <c r="T158" s="25">
        <v>45186</v>
      </c>
    </row>
    <row r="159" spans="1:20" x14ac:dyDescent="0.3">
      <c r="A159" s="13">
        <v>156</v>
      </c>
      <c r="B159" s="1" t="s">
        <v>710</v>
      </c>
      <c r="C159" s="39">
        <f t="shared" ca="1" si="11"/>
        <v>0</v>
      </c>
      <c r="D159" t="s">
        <v>87</v>
      </c>
      <c r="E159" t="s">
        <v>193</v>
      </c>
      <c r="F159" s="7" t="s">
        <v>79</v>
      </c>
      <c r="G159" s="6" t="s">
        <v>681</v>
      </c>
      <c r="H159" s="2" t="s">
        <v>681</v>
      </c>
      <c r="I159" s="1">
        <v>730</v>
      </c>
      <c r="J159" s="1">
        <v>60</v>
      </c>
      <c r="L159" s="45">
        <f t="shared" si="12"/>
        <v>45917</v>
      </c>
      <c r="M159" s="46">
        <f t="shared" si="10"/>
        <v>45917</v>
      </c>
      <c r="Q159" s="43">
        <f t="shared" si="13"/>
        <v>0</v>
      </c>
      <c r="R159" s="43">
        <f t="shared" ca="1" si="14"/>
        <v>0</v>
      </c>
      <c r="S159" s="22"/>
      <c r="T159" s="25">
        <v>45187</v>
      </c>
    </row>
    <row r="160" spans="1:20" x14ac:dyDescent="0.3">
      <c r="A160" s="13">
        <v>157</v>
      </c>
      <c r="B160" s="1" t="s">
        <v>710</v>
      </c>
      <c r="C160" s="39">
        <f t="shared" ca="1" si="11"/>
        <v>0</v>
      </c>
      <c r="D160" t="s">
        <v>87</v>
      </c>
      <c r="E160" t="s">
        <v>194</v>
      </c>
      <c r="F160" s="7" t="s">
        <v>79</v>
      </c>
      <c r="G160" s="6" t="s">
        <v>681</v>
      </c>
      <c r="H160" s="2" t="s">
        <v>681</v>
      </c>
      <c r="I160" s="1">
        <v>730</v>
      </c>
      <c r="J160" s="1">
        <v>60</v>
      </c>
      <c r="L160" s="45">
        <f t="shared" si="12"/>
        <v>45918</v>
      </c>
      <c r="M160" s="46">
        <f t="shared" si="10"/>
        <v>45918</v>
      </c>
      <c r="Q160" s="43">
        <f t="shared" si="13"/>
        <v>0</v>
      </c>
      <c r="R160" s="43">
        <f t="shared" ca="1" si="14"/>
        <v>0</v>
      </c>
      <c r="S160" s="22"/>
      <c r="T160" s="25">
        <v>45188</v>
      </c>
    </row>
    <row r="161" spans="1:20" x14ac:dyDescent="0.3">
      <c r="A161" s="13">
        <v>158</v>
      </c>
      <c r="B161" s="1" t="s">
        <v>710</v>
      </c>
      <c r="C161" s="39">
        <f t="shared" ca="1" si="11"/>
        <v>1</v>
      </c>
      <c r="D161" t="s">
        <v>87</v>
      </c>
      <c r="E161" t="s">
        <v>195</v>
      </c>
      <c r="F161" s="7" t="s">
        <v>79</v>
      </c>
      <c r="G161" s="6" t="s">
        <v>681</v>
      </c>
      <c r="H161" s="2" t="s">
        <v>681</v>
      </c>
      <c r="I161" s="1">
        <v>1000</v>
      </c>
      <c r="J161" s="1">
        <v>180</v>
      </c>
      <c r="L161" s="45">
        <f t="shared" si="12"/>
        <v>45084</v>
      </c>
      <c r="M161" s="46">
        <f t="shared" ref="M161:M224" si="15">T161+I161</f>
        <v>46189</v>
      </c>
      <c r="N161" s="50">
        <v>45084</v>
      </c>
      <c r="Q161" s="43">
        <f t="shared" si="13"/>
        <v>0</v>
      </c>
      <c r="R161" s="43">
        <f t="shared" ca="1" si="14"/>
        <v>0</v>
      </c>
      <c r="S161" s="22">
        <v>1</v>
      </c>
      <c r="T161" s="25">
        <v>45189</v>
      </c>
    </row>
    <row r="162" spans="1:20" x14ac:dyDescent="0.3">
      <c r="A162" s="13">
        <v>159</v>
      </c>
      <c r="B162" s="1" t="s">
        <v>710</v>
      </c>
      <c r="C162" s="39">
        <f t="shared" ca="1" si="11"/>
        <v>0</v>
      </c>
      <c r="D162" t="s">
        <v>87</v>
      </c>
      <c r="E162" t="s">
        <v>191</v>
      </c>
      <c r="F162" s="7" t="s">
        <v>79</v>
      </c>
      <c r="G162" s="6" t="s">
        <v>681</v>
      </c>
      <c r="H162" s="2" t="s">
        <v>681</v>
      </c>
      <c r="I162" s="1">
        <v>1000</v>
      </c>
      <c r="J162" s="1">
        <v>120</v>
      </c>
      <c r="L162" s="45">
        <f t="shared" si="12"/>
        <v>46093</v>
      </c>
      <c r="M162" s="46">
        <f t="shared" si="15"/>
        <v>46093</v>
      </c>
      <c r="Q162" s="43">
        <f t="shared" si="13"/>
        <v>0</v>
      </c>
      <c r="R162" s="43">
        <f t="shared" ca="1" si="14"/>
        <v>0</v>
      </c>
      <c r="S162" s="22"/>
      <c r="T162" s="25">
        <v>45093</v>
      </c>
    </row>
    <row r="163" spans="1:20" x14ac:dyDescent="0.3">
      <c r="A163" s="13">
        <v>160</v>
      </c>
      <c r="B163" s="1" t="s">
        <v>710</v>
      </c>
      <c r="C163" s="39">
        <f t="shared" ca="1" si="11"/>
        <v>0</v>
      </c>
      <c r="D163" t="s">
        <v>87</v>
      </c>
      <c r="E163" t="s">
        <v>196</v>
      </c>
      <c r="F163" s="7" t="s">
        <v>79</v>
      </c>
      <c r="G163" s="6" t="s">
        <v>681</v>
      </c>
      <c r="H163" s="2" t="s">
        <v>681</v>
      </c>
      <c r="I163" s="1">
        <v>1000</v>
      </c>
      <c r="J163" s="1">
        <v>120</v>
      </c>
      <c r="L163" s="45">
        <f t="shared" si="12"/>
        <v>46191</v>
      </c>
      <c r="M163" s="46">
        <f t="shared" si="15"/>
        <v>46191</v>
      </c>
      <c r="Q163" s="43">
        <f t="shared" si="13"/>
        <v>0</v>
      </c>
      <c r="R163" s="43">
        <f t="shared" ca="1" si="14"/>
        <v>0</v>
      </c>
      <c r="S163" s="22"/>
      <c r="T163" s="25">
        <v>45191</v>
      </c>
    </row>
    <row r="164" spans="1:20" x14ac:dyDescent="0.3">
      <c r="A164" s="13">
        <v>161</v>
      </c>
      <c r="B164" s="1" t="s">
        <v>710</v>
      </c>
      <c r="C164" s="39">
        <f t="shared" ca="1" si="11"/>
        <v>0</v>
      </c>
      <c r="D164" t="s">
        <v>88</v>
      </c>
      <c r="E164" t="s">
        <v>193</v>
      </c>
      <c r="F164" s="7" t="s">
        <v>79</v>
      </c>
      <c r="G164" s="6" t="s">
        <v>681</v>
      </c>
      <c r="H164" s="2" t="s">
        <v>681</v>
      </c>
      <c r="I164" s="1">
        <v>730</v>
      </c>
      <c r="J164" s="1">
        <v>60</v>
      </c>
      <c r="L164" s="45">
        <f t="shared" si="12"/>
        <v>45922</v>
      </c>
      <c r="M164" s="46">
        <f t="shared" si="15"/>
        <v>45922</v>
      </c>
      <c r="Q164" s="43">
        <f t="shared" si="13"/>
        <v>0</v>
      </c>
      <c r="R164" s="43">
        <f t="shared" ca="1" si="14"/>
        <v>0</v>
      </c>
      <c r="S164" s="22"/>
      <c r="T164" s="25">
        <v>45192</v>
      </c>
    </row>
    <row r="165" spans="1:20" x14ac:dyDescent="0.3">
      <c r="A165" s="13">
        <v>162</v>
      </c>
      <c r="B165" s="1" t="s">
        <v>710</v>
      </c>
      <c r="C165" s="39">
        <f t="shared" ca="1" si="11"/>
        <v>0</v>
      </c>
      <c r="D165" t="s">
        <v>88</v>
      </c>
      <c r="E165" t="s">
        <v>194</v>
      </c>
      <c r="F165" s="7" t="s">
        <v>79</v>
      </c>
      <c r="G165" s="6" t="s">
        <v>681</v>
      </c>
      <c r="H165" s="2" t="s">
        <v>681</v>
      </c>
      <c r="I165" s="1">
        <v>730</v>
      </c>
      <c r="J165" s="1">
        <v>60</v>
      </c>
      <c r="L165" s="45">
        <f t="shared" si="12"/>
        <v>45923</v>
      </c>
      <c r="M165" s="46">
        <f t="shared" si="15"/>
        <v>45923</v>
      </c>
      <c r="Q165" s="43">
        <f t="shared" si="13"/>
        <v>0</v>
      </c>
      <c r="R165" s="43">
        <f t="shared" ca="1" si="14"/>
        <v>0</v>
      </c>
      <c r="S165" s="22"/>
      <c r="T165" s="25">
        <v>45193</v>
      </c>
    </row>
    <row r="166" spans="1:20" x14ac:dyDescent="0.3">
      <c r="A166" s="13">
        <v>163</v>
      </c>
      <c r="B166" s="1" t="s">
        <v>710</v>
      </c>
      <c r="C166" s="39">
        <f t="shared" ca="1" si="11"/>
        <v>0</v>
      </c>
      <c r="D166" t="s">
        <v>88</v>
      </c>
      <c r="E166" t="s">
        <v>195</v>
      </c>
      <c r="F166" s="7" t="s">
        <v>79</v>
      </c>
      <c r="G166" s="6" t="s">
        <v>681</v>
      </c>
      <c r="H166" s="2" t="s">
        <v>681</v>
      </c>
      <c r="I166" s="1">
        <v>1000</v>
      </c>
      <c r="J166" s="1">
        <v>180</v>
      </c>
      <c r="L166" s="45">
        <f t="shared" si="12"/>
        <v>46194</v>
      </c>
      <c r="M166" s="46">
        <f t="shared" si="15"/>
        <v>46194</v>
      </c>
      <c r="Q166" s="43">
        <f t="shared" si="13"/>
        <v>0</v>
      </c>
      <c r="R166" s="43">
        <f t="shared" ca="1" si="14"/>
        <v>0</v>
      </c>
      <c r="S166" s="22"/>
      <c r="T166" s="25">
        <v>45194</v>
      </c>
    </row>
    <row r="167" spans="1:20" x14ac:dyDescent="0.3">
      <c r="A167" s="13">
        <v>164</v>
      </c>
      <c r="B167" s="1" t="s">
        <v>710</v>
      </c>
      <c r="C167" s="39">
        <f t="shared" ca="1" si="11"/>
        <v>0</v>
      </c>
      <c r="D167" t="s">
        <v>88</v>
      </c>
      <c r="E167" t="s">
        <v>191</v>
      </c>
      <c r="F167" s="7" t="s">
        <v>79</v>
      </c>
      <c r="G167" s="6" t="s">
        <v>681</v>
      </c>
      <c r="H167" s="2" t="s">
        <v>681</v>
      </c>
      <c r="I167" s="1">
        <v>1000</v>
      </c>
      <c r="J167" s="1">
        <v>120</v>
      </c>
      <c r="L167" s="45">
        <f t="shared" si="12"/>
        <v>46195</v>
      </c>
      <c r="M167" s="46">
        <f t="shared" si="15"/>
        <v>46195</v>
      </c>
      <c r="Q167" s="43">
        <f t="shared" si="13"/>
        <v>0</v>
      </c>
      <c r="R167" s="43">
        <f t="shared" ca="1" si="14"/>
        <v>0</v>
      </c>
      <c r="S167" s="22"/>
      <c r="T167" s="25">
        <v>45195</v>
      </c>
    </row>
    <row r="168" spans="1:20" x14ac:dyDescent="0.3">
      <c r="A168" s="13">
        <v>165</v>
      </c>
      <c r="B168" s="1" t="s">
        <v>710</v>
      </c>
      <c r="C168" s="39">
        <f t="shared" ca="1" si="11"/>
        <v>0</v>
      </c>
      <c r="D168" t="s">
        <v>88</v>
      </c>
      <c r="E168" t="s">
        <v>196</v>
      </c>
      <c r="F168" s="7" t="s">
        <v>79</v>
      </c>
      <c r="G168" s="6" t="s">
        <v>681</v>
      </c>
      <c r="H168" s="2" t="s">
        <v>681</v>
      </c>
      <c r="I168" s="1">
        <v>1000</v>
      </c>
      <c r="J168" s="1">
        <v>120</v>
      </c>
      <c r="L168" s="45">
        <f t="shared" si="12"/>
        <v>46196</v>
      </c>
      <c r="M168" s="46">
        <f t="shared" si="15"/>
        <v>46196</v>
      </c>
      <c r="Q168" s="43">
        <f t="shared" si="13"/>
        <v>0</v>
      </c>
      <c r="R168" s="43">
        <f t="shared" ca="1" si="14"/>
        <v>0</v>
      </c>
      <c r="S168" s="22"/>
      <c r="T168" s="25">
        <v>45196</v>
      </c>
    </row>
    <row r="169" spans="1:20" x14ac:dyDescent="0.3">
      <c r="A169" s="13">
        <v>166</v>
      </c>
      <c r="B169" s="1" t="s">
        <v>710</v>
      </c>
      <c r="C169" s="39">
        <f t="shared" ca="1" si="11"/>
        <v>0</v>
      </c>
      <c r="D169" t="s">
        <v>89</v>
      </c>
      <c r="E169" t="s">
        <v>193</v>
      </c>
      <c r="F169" s="7" t="s">
        <v>79</v>
      </c>
      <c r="G169" s="6" t="s">
        <v>681</v>
      </c>
      <c r="H169" s="2" t="s">
        <v>681</v>
      </c>
      <c r="I169" s="1">
        <v>730</v>
      </c>
      <c r="J169" s="1">
        <v>60</v>
      </c>
      <c r="L169" s="45">
        <f t="shared" si="12"/>
        <v>45927</v>
      </c>
      <c r="M169" s="46">
        <f t="shared" si="15"/>
        <v>45927</v>
      </c>
      <c r="Q169" s="43">
        <f t="shared" si="13"/>
        <v>0</v>
      </c>
      <c r="R169" s="43">
        <f t="shared" ca="1" si="14"/>
        <v>0</v>
      </c>
      <c r="S169" s="22"/>
      <c r="T169" s="25">
        <v>45197</v>
      </c>
    </row>
    <row r="170" spans="1:20" x14ac:dyDescent="0.3">
      <c r="A170" s="13">
        <v>167</v>
      </c>
      <c r="B170" s="1" t="s">
        <v>710</v>
      </c>
      <c r="C170" s="39">
        <f t="shared" ca="1" si="11"/>
        <v>0</v>
      </c>
      <c r="D170" t="s">
        <v>89</v>
      </c>
      <c r="E170" t="s">
        <v>194</v>
      </c>
      <c r="F170" s="7" t="s">
        <v>79</v>
      </c>
      <c r="G170" s="6" t="s">
        <v>681</v>
      </c>
      <c r="H170" s="2" t="s">
        <v>681</v>
      </c>
      <c r="I170" s="1">
        <v>730</v>
      </c>
      <c r="J170" s="1">
        <v>60</v>
      </c>
      <c r="L170" s="45">
        <f t="shared" si="12"/>
        <v>45928</v>
      </c>
      <c r="M170" s="46">
        <f t="shared" si="15"/>
        <v>45928</v>
      </c>
      <c r="Q170" s="43">
        <f t="shared" si="13"/>
        <v>0</v>
      </c>
      <c r="R170" s="43">
        <f t="shared" ca="1" si="14"/>
        <v>0</v>
      </c>
      <c r="S170" s="22"/>
      <c r="T170" s="25">
        <v>45198</v>
      </c>
    </row>
    <row r="171" spans="1:20" x14ac:dyDescent="0.3">
      <c r="A171" s="13">
        <v>168</v>
      </c>
      <c r="B171" s="1" t="s">
        <v>710</v>
      </c>
      <c r="C171" s="39">
        <f t="shared" ca="1" si="11"/>
        <v>0</v>
      </c>
      <c r="D171" t="s">
        <v>89</v>
      </c>
      <c r="E171" t="s">
        <v>195</v>
      </c>
      <c r="F171" s="7" t="s">
        <v>79</v>
      </c>
      <c r="G171" s="6" t="s">
        <v>681</v>
      </c>
      <c r="H171" s="2" t="s">
        <v>681</v>
      </c>
      <c r="I171" s="1">
        <v>1000</v>
      </c>
      <c r="J171" s="1">
        <v>180</v>
      </c>
      <c r="L171" s="45">
        <f t="shared" si="12"/>
        <v>46199</v>
      </c>
      <c r="M171" s="46">
        <f t="shared" si="15"/>
        <v>46199</v>
      </c>
      <c r="Q171" s="43">
        <f t="shared" si="13"/>
        <v>0</v>
      </c>
      <c r="R171" s="43">
        <f t="shared" ca="1" si="14"/>
        <v>0</v>
      </c>
      <c r="S171" s="22"/>
      <c r="T171" s="25">
        <v>45199</v>
      </c>
    </row>
    <row r="172" spans="1:20" x14ac:dyDescent="0.3">
      <c r="A172" s="13">
        <v>169</v>
      </c>
      <c r="B172" s="1" t="s">
        <v>710</v>
      </c>
      <c r="C172" s="39">
        <f t="shared" ca="1" si="11"/>
        <v>0</v>
      </c>
      <c r="D172" t="s">
        <v>89</v>
      </c>
      <c r="E172" t="s">
        <v>191</v>
      </c>
      <c r="F172" s="7" t="s">
        <v>79</v>
      </c>
      <c r="G172" s="6" t="s">
        <v>681</v>
      </c>
      <c r="H172" s="2" t="s">
        <v>681</v>
      </c>
      <c r="I172" s="1">
        <v>1000</v>
      </c>
      <c r="J172" s="1">
        <v>120</v>
      </c>
      <c r="L172" s="45">
        <f t="shared" si="12"/>
        <v>46200</v>
      </c>
      <c r="M172" s="46">
        <f t="shared" si="15"/>
        <v>46200</v>
      </c>
      <c r="Q172" s="43">
        <f t="shared" si="13"/>
        <v>0</v>
      </c>
      <c r="R172" s="43">
        <f t="shared" ca="1" si="14"/>
        <v>0</v>
      </c>
      <c r="S172" s="22"/>
      <c r="T172" s="25">
        <v>45200</v>
      </c>
    </row>
    <row r="173" spans="1:20" x14ac:dyDescent="0.3">
      <c r="A173" s="13">
        <v>170</v>
      </c>
      <c r="B173" s="1" t="s">
        <v>710</v>
      </c>
      <c r="C173" s="39">
        <f t="shared" ca="1" si="11"/>
        <v>1</v>
      </c>
      <c r="D173" t="s">
        <v>89</v>
      </c>
      <c r="E173" t="s">
        <v>196</v>
      </c>
      <c r="F173" s="7" t="s">
        <v>79</v>
      </c>
      <c r="G173" s="6" t="s">
        <v>681</v>
      </c>
      <c r="H173" s="2" t="s">
        <v>681</v>
      </c>
      <c r="I173" s="1">
        <v>1000</v>
      </c>
      <c r="J173" s="1">
        <v>120</v>
      </c>
      <c r="L173" s="45">
        <f t="shared" si="12"/>
        <v>45084</v>
      </c>
      <c r="M173" s="46">
        <f t="shared" si="15"/>
        <v>46201</v>
      </c>
      <c r="N173" s="50">
        <v>45084</v>
      </c>
      <c r="Q173" s="43">
        <f t="shared" si="13"/>
        <v>0</v>
      </c>
      <c r="R173" s="43">
        <f t="shared" ca="1" si="14"/>
        <v>0</v>
      </c>
      <c r="S173" s="22">
        <v>1</v>
      </c>
      <c r="T173" s="25">
        <v>45201</v>
      </c>
    </row>
    <row r="174" spans="1:20" x14ac:dyDescent="0.3">
      <c r="A174" s="13">
        <v>171</v>
      </c>
      <c r="B174" s="1" t="s">
        <v>710</v>
      </c>
      <c r="C174" s="39">
        <f t="shared" ca="1" si="11"/>
        <v>0</v>
      </c>
      <c r="D174" t="s">
        <v>90</v>
      </c>
      <c r="E174" t="s">
        <v>193</v>
      </c>
      <c r="F174" s="7" t="s">
        <v>79</v>
      </c>
      <c r="G174" s="6" t="s">
        <v>681</v>
      </c>
      <c r="H174" s="2" t="s">
        <v>681</v>
      </c>
      <c r="I174" s="1">
        <v>730</v>
      </c>
      <c r="J174" s="1">
        <v>60</v>
      </c>
      <c r="L174" s="45">
        <f t="shared" si="12"/>
        <v>45932</v>
      </c>
      <c r="M174" s="46">
        <f t="shared" si="15"/>
        <v>45932</v>
      </c>
      <c r="Q174" s="43">
        <f t="shared" si="13"/>
        <v>0</v>
      </c>
      <c r="R174" s="43">
        <f t="shared" ca="1" si="14"/>
        <v>0</v>
      </c>
      <c r="S174" s="22"/>
      <c r="T174" s="25">
        <v>45202</v>
      </c>
    </row>
    <row r="175" spans="1:20" x14ac:dyDescent="0.3">
      <c r="A175" s="13">
        <v>172</v>
      </c>
      <c r="B175" s="1" t="s">
        <v>710</v>
      </c>
      <c r="C175" s="39">
        <f t="shared" ca="1" si="11"/>
        <v>0</v>
      </c>
      <c r="D175" t="s">
        <v>90</v>
      </c>
      <c r="E175" t="s">
        <v>194</v>
      </c>
      <c r="F175" s="7" t="s">
        <v>79</v>
      </c>
      <c r="G175" s="6" t="s">
        <v>681</v>
      </c>
      <c r="H175" s="2" t="s">
        <v>681</v>
      </c>
      <c r="I175" s="1">
        <v>730</v>
      </c>
      <c r="J175" s="1">
        <v>60</v>
      </c>
      <c r="L175" s="45">
        <f t="shared" si="12"/>
        <v>45933</v>
      </c>
      <c r="M175" s="46">
        <f t="shared" si="15"/>
        <v>45933</v>
      </c>
      <c r="Q175" s="43">
        <f t="shared" si="13"/>
        <v>0</v>
      </c>
      <c r="R175" s="43">
        <f t="shared" ca="1" si="14"/>
        <v>0</v>
      </c>
      <c r="S175" s="22"/>
      <c r="T175" s="25">
        <v>45203</v>
      </c>
    </row>
    <row r="176" spans="1:20" x14ac:dyDescent="0.3">
      <c r="A176" s="13">
        <v>173</v>
      </c>
      <c r="B176" s="1" t="s">
        <v>710</v>
      </c>
      <c r="C176" s="39">
        <f t="shared" ca="1" si="11"/>
        <v>0</v>
      </c>
      <c r="D176" t="s">
        <v>90</v>
      </c>
      <c r="E176" t="s">
        <v>195</v>
      </c>
      <c r="F176" s="7" t="s">
        <v>79</v>
      </c>
      <c r="G176" s="6" t="s">
        <v>681</v>
      </c>
      <c r="H176" s="2" t="s">
        <v>681</v>
      </c>
      <c r="I176" s="1">
        <v>1000</v>
      </c>
      <c r="J176" s="1">
        <v>180</v>
      </c>
      <c r="L176" s="45">
        <f t="shared" si="12"/>
        <v>46204</v>
      </c>
      <c r="M176" s="46">
        <f t="shared" si="15"/>
        <v>46204</v>
      </c>
      <c r="Q176" s="43">
        <f t="shared" si="13"/>
        <v>0</v>
      </c>
      <c r="R176" s="43">
        <f t="shared" ca="1" si="14"/>
        <v>0</v>
      </c>
      <c r="S176" s="22"/>
      <c r="T176" s="25">
        <v>45204</v>
      </c>
    </row>
    <row r="177" spans="1:20" x14ac:dyDescent="0.3">
      <c r="A177" s="13">
        <v>174</v>
      </c>
      <c r="B177" s="1" t="s">
        <v>710</v>
      </c>
      <c r="C177" s="39">
        <f t="shared" ca="1" si="11"/>
        <v>0</v>
      </c>
      <c r="D177" t="s">
        <v>90</v>
      </c>
      <c r="E177" t="s">
        <v>191</v>
      </c>
      <c r="F177" s="7" t="s">
        <v>79</v>
      </c>
      <c r="G177" s="6" t="s">
        <v>681</v>
      </c>
      <c r="H177" s="2" t="s">
        <v>681</v>
      </c>
      <c r="I177" s="1">
        <v>1000</v>
      </c>
      <c r="J177" s="1">
        <v>120</v>
      </c>
      <c r="L177" s="45">
        <f t="shared" si="12"/>
        <v>46205</v>
      </c>
      <c r="M177" s="46">
        <f t="shared" si="15"/>
        <v>46205</v>
      </c>
      <c r="Q177" s="43">
        <f t="shared" si="13"/>
        <v>0</v>
      </c>
      <c r="R177" s="43">
        <f t="shared" ca="1" si="14"/>
        <v>0</v>
      </c>
      <c r="S177" s="22"/>
      <c r="T177" s="25">
        <v>45205</v>
      </c>
    </row>
    <row r="178" spans="1:20" x14ac:dyDescent="0.3">
      <c r="A178" s="13">
        <v>175</v>
      </c>
      <c r="B178" s="1" t="s">
        <v>710</v>
      </c>
      <c r="C178" s="39">
        <f t="shared" ca="1" si="11"/>
        <v>0</v>
      </c>
      <c r="D178" t="s">
        <v>90</v>
      </c>
      <c r="E178" t="s">
        <v>196</v>
      </c>
      <c r="F178" s="7" t="s">
        <v>79</v>
      </c>
      <c r="G178" s="6" t="s">
        <v>681</v>
      </c>
      <c r="H178" s="2" t="s">
        <v>681</v>
      </c>
      <c r="I178" s="1">
        <v>1000</v>
      </c>
      <c r="J178" s="1">
        <v>120</v>
      </c>
      <c r="L178" s="45">
        <f t="shared" si="12"/>
        <v>46206</v>
      </c>
      <c r="M178" s="46">
        <f t="shared" si="15"/>
        <v>46206</v>
      </c>
      <c r="Q178" s="43">
        <f t="shared" si="13"/>
        <v>0</v>
      </c>
      <c r="R178" s="43">
        <f t="shared" ca="1" si="14"/>
        <v>0</v>
      </c>
      <c r="S178" s="22"/>
      <c r="T178" s="25">
        <v>45206</v>
      </c>
    </row>
    <row r="179" spans="1:20" x14ac:dyDescent="0.3">
      <c r="A179" s="13">
        <v>176</v>
      </c>
      <c r="B179" s="1" t="s">
        <v>710</v>
      </c>
      <c r="C179" s="39">
        <f t="shared" ca="1" si="11"/>
        <v>0</v>
      </c>
      <c r="D179" t="s">
        <v>91</v>
      </c>
      <c r="E179" t="s">
        <v>193</v>
      </c>
      <c r="F179" s="7" t="s">
        <v>79</v>
      </c>
      <c r="G179" s="6" t="s">
        <v>681</v>
      </c>
      <c r="H179" s="2" t="s">
        <v>681</v>
      </c>
      <c r="I179" s="1">
        <v>730</v>
      </c>
      <c r="J179" s="1">
        <v>60</v>
      </c>
      <c r="L179" s="45">
        <f t="shared" si="12"/>
        <v>45937</v>
      </c>
      <c r="M179" s="46">
        <f t="shared" si="15"/>
        <v>45937</v>
      </c>
      <c r="Q179" s="43">
        <f t="shared" si="13"/>
        <v>0</v>
      </c>
      <c r="R179" s="43">
        <f t="shared" ca="1" si="14"/>
        <v>0</v>
      </c>
      <c r="S179" s="22"/>
      <c r="T179" s="25">
        <v>45207</v>
      </c>
    </row>
    <row r="180" spans="1:20" x14ac:dyDescent="0.3">
      <c r="A180" s="13">
        <v>177</v>
      </c>
      <c r="B180" s="1" t="s">
        <v>710</v>
      </c>
      <c r="C180" s="39">
        <f t="shared" ca="1" si="11"/>
        <v>0</v>
      </c>
      <c r="D180" t="s">
        <v>91</v>
      </c>
      <c r="E180" t="s">
        <v>194</v>
      </c>
      <c r="F180" s="7" t="s">
        <v>79</v>
      </c>
      <c r="G180" s="6" t="s">
        <v>681</v>
      </c>
      <c r="H180" s="2" t="s">
        <v>681</v>
      </c>
      <c r="I180" s="1">
        <v>730</v>
      </c>
      <c r="J180" s="1">
        <v>60</v>
      </c>
      <c r="L180" s="45">
        <f t="shared" si="12"/>
        <v>45938</v>
      </c>
      <c r="M180" s="46">
        <f t="shared" si="15"/>
        <v>45938</v>
      </c>
      <c r="Q180" s="43">
        <f t="shared" si="13"/>
        <v>0</v>
      </c>
      <c r="R180" s="43">
        <f t="shared" ca="1" si="14"/>
        <v>0</v>
      </c>
      <c r="S180" s="22"/>
      <c r="T180" s="25">
        <v>45208</v>
      </c>
    </row>
    <row r="181" spans="1:20" x14ac:dyDescent="0.3">
      <c r="A181" s="13">
        <v>178</v>
      </c>
      <c r="B181" s="1" t="s">
        <v>710</v>
      </c>
      <c r="C181" s="39">
        <f t="shared" ca="1" si="11"/>
        <v>0</v>
      </c>
      <c r="D181" t="s">
        <v>91</v>
      </c>
      <c r="E181" t="s">
        <v>195</v>
      </c>
      <c r="F181" s="7" t="s">
        <v>79</v>
      </c>
      <c r="G181" s="6" t="s">
        <v>681</v>
      </c>
      <c r="H181" s="2" t="s">
        <v>681</v>
      </c>
      <c r="I181" s="1">
        <v>1000</v>
      </c>
      <c r="J181" s="1">
        <v>180</v>
      </c>
      <c r="K181" s="20">
        <v>23</v>
      </c>
      <c r="L181" s="45">
        <f t="shared" si="12"/>
        <v>46093</v>
      </c>
      <c r="M181" s="46">
        <f t="shared" si="15"/>
        <v>46093</v>
      </c>
      <c r="Q181" s="43">
        <f t="shared" si="13"/>
        <v>0</v>
      </c>
      <c r="R181" s="43">
        <f t="shared" ca="1" si="14"/>
        <v>0</v>
      </c>
      <c r="S181" s="22"/>
      <c r="T181" s="25">
        <v>45093</v>
      </c>
    </row>
    <row r="182" spans="1:20" x14ac:dyDescent="0.3">
      <c r="A182" s="13">
        <v>179</v>
      </c>
      <c r="B182" s="1" t="s">
        <v>710</v>
      </c>
      <c r="C182" s="39">
        <f t="shared" ca="1" si="11"/>
        <v>0</v>
      </c>
      <c r="D182" t="s">
        <v>91</v>
      </c>
      <c r="E182" t="s">
        <v>191</v>
      </c>
      <c r="F182" s="7" t="s">
        <v>79</v>
      </c>
      <c r="G182" s="6" t="s">
        <v>681</v>
      </c>
      <c r="H182" s="2" t="s">
        <v>681</v>
      </c>
      <c r="I182" s="1">
        <v>1000</v>
      </c>
      <c r="J182" s="1">
        <v>120</v>
      </c>
      <c r="L182" s="45">
        <f t="shared" si="12"/>
        <v>46210</v>
      </c>
      <c r="M182" s="46">
        <f t="shared" si="15"/>
        <v>46210</v>
      </c>
      <c r="Q182" s="43">
        <f t="shared" si="13"/>
        <v>0</v>
      </c>
      <c r="R182" s="43">
        <f t="shared" ca="1" si="14"/>
        <v>0</v>
      </c>
      <c r="S182" s="22"/>
      <c r="T182" s="25">
        <v>45210</v>
      </c>
    </row>
    <row r="183" spans="1:20" x14ac:dyDescent="0.3">
      <c r="A183" s="13">
        <v>180</v>
      </c>
      <c r="B183" s="1" t="s">
        <v>710</v>
      </c>
      <c r="C183" s="39">
        <f t="shared" ca="1" si="11"/>
        <v>0</v>
      </c>
      <c r="D183" t="s">
        <v>91</v>
      </c>
      <c r="E183" t="s">
        <v>196</v>
      </c>
      <c r="F183" s="7" t="s">
        <v>79</v>
      </c>
      <c r="G183" s="6" t="s">
        <v>681</v>
      </c>
      <c r="H183" s="2" t="s">
        <v>681</v>
      </c>
      <c r="I183" s="1">
        <v>1000</v>
      </c>
      <c r="J183" s="1">
        <v>120</v>
      </c>
      <c r="L183" s="45">
        <f t="shared" si="12"/>
        <v>46211</v>
      </c>
      <c r="M183" s="46">
        <f t="shared" si="15"/>
        <v>46211</v>
      </c>
      <c r="Q183" s="43">
        <f t="shared" si="13"/>
        <v>0</v>
      </c>
      <c r="R183" s="43">
        <f t="shared" ca="1" si="14"/>
        <v>0</v>
      </c>
      <c r="S183" s="22"/>
      <c r="T183" s="25">
        <v>45211</v>
      </c>
    </row>
    <row r="184" spans="1:20" x14ac:dyDescent="0.3">
      <c r="A184" s="13">
        <v>181</v>
      </c>
      <c r="B184" s="1" t="s">
        <v>710</v>
      </c>
      <c r="C184" s="39">
        <f t="shared" ca="1" si="11"/>
        <v>0</v>
      </c>
      <c r="D184" t="s">
        <v>92</v>
      </c>
      <c r="E184" t="s">
        <v>193</v>
      </c>
      <c r="F184" s="7" t="s">
        <v>79</v>
      </c>
      <c r="G184" s="6" t="s">
        <v>681</v>
      </c>
      <c r="H184" s="2" t="s">
        <v>681</v>
      </c>
      <c r="I184" s="1">
        <v>730</v>
      </c>
      <c r="J184" s="1">
        <v>120</v>
      </c>
      <c r="L184" s="45">
        <f t="shared" si="12"/>
        <v>45942</v>
      </c>
      <c r="M184" s="46">
        <f t="shared" si="15"/>
        <v>45942</v>
      </c>
      <c r="Q184" s="43">
        <f t="shared" si="13"/>
        <v>0</v>
      </c>
      <c r="R184" s="43">
        <f t="shared" ca="1" si="14"/>
        <v>0</v>
      </c>
      <c r="S184" s="22"/>
      <c r="T184" s="25">
        <v>45212</v>
      </c>
    </row>
    <row r="185" spans="1:20" x14ac:dyDescent="0.3">
      <c r="A185" s="13">
        <v>182</v>
      </c>
      <c r="B185" s="1" t="s">
        <v>710</v>
      </c>
      <c r="C185" s="39">
        <f t="shared" ca="1" si="11"/>
        <v>0</v>
      </c>
      <c r="D185" t="s">
        <v>92</v>
      </c>
      <c r="E185" t="s">
        <v>194</v>
      </c>
      <c r="F185" s="7" t="s">
        <v>79</v>
      </c>
      <c r="G185" s="6" t="s">
        <v>681</v>
      </c>
      <c r="H185" s="2" t="s">
        <v>681</v>
      </c>
      <c r="I185" s="1">
        <v>730</v>
      </c>
      <c r="J185" s="1">
        <v>120</v>
      </c>
      <c r="L185" s="45">
        <f t="shared" si="12"/>
        <v>45943</v>
      </c>
      <c r="M185" s="46">
        <f t="shared" si="15"/>
        <v>45943</v>
      </c>
      <c r="Q185" s="43">
        <f t="shared" si="13"/>
        <v>0</v>
      </c>
      <c r="R185" s="43">
        <f t="shared" ca="1" si="14"/>
        <v>0</v>
      </c>
      <c r="S185" s="22"/>
      <c r="T185" s="25">
        <v>45213</v>
      </c>
    </row>
    <row r="186" spans="1:20" x14ac:dyDescent="0.3">
      <c r="A186" s="13">
        <v>183</v>
      </c>
      <c r="B186" s="1" t="s">
        <v>710</v>
      </c>
      <c r="C186" s="39">
        <f t="shared" ca="1" si="11"/>
        <v>1</v>
      </c>
      <c r="D186" t="s">
        <v>92</v>
      </c>
      <c r="E186" t="s">
        <v>197</v>
      </c>
      <c r="F186" s="7" t="s">
        <v>79</v>
      </c>
      <c r="G186" s="6" t="s">
        <v>681</v>
      </c>
      <c r="H186" s="2" t="s">
        <v>681</v>
      </c>
      <c r="I186" s="1">
        <v>1000</v>
      </c>
      <c r="J186" s="1">
        <v>180</v>
      </c>
      <c r="L186" s="45">
        <f t="shared" si="12"/>
        <v>45084</v>
      </c>
      <c r="M186" s="46">
        <f t="shared" si="15"/>
        <v>46214</v>
      </c>
      <c r="N186" s="50">
        <v>45084</v>
      </c>
      <c r="Q186" s="43">
        <f t="shared" si="13"/>
        <v>0</v>
      </c>
      <c r="R186" s="43">
        <f t="shared" ca="1" si="14"/>
        <v>0</v>
      </c>
      <c r="S186" s="22">
        <v>1</v>
      </c>
      <c r="T186" s="25">
        <v>45214</v>
      </c>
    </row>
    <row r="187" spans="1:20" x14ac:dyDescent="0.3">
      <c r="A187" s="13">
        <v>184</v>
      </c>
      <c r="B187" s="1" t="s">
        <v>710</v>
      </c>
      <c r="C187" s="39">
        <f t="shared" ca="1" si="11"/>
        <v>0</v>
      </c>
      <c r="D187" t="s">
        <v>92</v>
      </c>
      <c r="E187" t="s">
        <v>198</v>
      </c>
      <c r="F187" s="7" t="s">
        <v>79</v>
      </c>
      <c r="G187" s="6" t="s">
        <v>681</v>
      </c>
      <c r="H187" s="2" t="s">
        <v>681</v>
      </c>
      <c r="I187" s="1">
        <v>365</v>
      </c>
      <c r="J187" s="1">
        <v>120</v>
      </c>
      <c r="L187" s="45">
        <f t="shared" si="12"/>
        <v>45580</v>
      </c>
      <c r="M187" s="46">
        <f t="shared" si="15"/>
        <v>45580</v>
      </c>
      <c r="Q187" s="43">
        <f t="shared" si="13"/>
        <v>0</v>
      </c>
      <c r="R187" s="43">
        <f t="shared" ca="1" si="14"/>
        <v>0</v>
      </c>
      <c r="S187" s="22"/>
      <c r="T187" s="25">
        <v>45215</v>
      </c>
    </row>
    <row r="188" spans="1:20" x14ac:dyDescent="0.3">
      <c r="A188" s="13">
        <v>185</v>
      </c>
      <c r="B188" s="1" t="s">
        <v>710</v>
      </c>
      <c r="C188" s="39">
        <f t="shared" ca="1" si="11"/>
        <v>0</v>
      </c>
      <c r="D188" t="s">
        <v>92</v>
      </c>
      <c r="E188" t="s">
        <v>191</v>
      </c>
      <c r="F188" s="7" t="s">
        <v>79</v>
      </c>
      <c r="G188" s="6" t="s">
        <v>681</v>
      </c>
      <c r="H188" s="2" t="s">
        <v>681</v>
      </c>
      <c r="I188" s="1">
        <v>1000</v>
      </c>
      <c r="J188" s="1">
        <v>120</v>
      </c>
      <c r="L188" s="45">
        <f t="shared" si="12"/>
        <v>46216</v>
      </c>
      <c r="M188" s="46">
        <f t="shared" si="15"/>
        <v>46216</v>
      </c>
      <c r="Q188" s="43">
        <f t="shared" si="13"/>
        <v>0</v>
      </c>
      <c r="R188" s="43">
        <f t="shared" ca="1" si="14"/>
        <v>0</v>
      </c>
      <c r="S188" s="22"/>
      <c r="T188" s="25">
        <v>45216</v>
      </c>
    </row>
    <row r="189" spans="1:20" x14ac:dyDescent="0.3">
      <c r="A189" s="13">
        <v>186</v>
      </c>
      <c r="B189" s="1" t="s">
        <v>710</v>
      </c>
      <c r="C189" s="39">
        <f t="shared" ca="1" si="11"/>
        <v>0</v>
      </c>
      <c r="D189" t="s">
        <v>92</v>
      </c>
      <c r="E189" t="s">
        <v>192</v>
      </c>
      <c r="F189" s="7" t="s">
        <v>79</v>
      </c>
      <c r="G189" s="6" t="s">
        <v>681</v>
      </c>
      <c r="H189" s="2" t="s">
        <v>681</v>
      </c>
      <c r="I189" s="1">
        <v>1000</v>
      </c>
      <c r="J189" s="1">
        <v>120</v>
      </c>
      <c r="L189" s="45">
        <f t="shared" si="12"/>
        <v>46217</v>
      </c>
      <c r="M189" s="46">
        <f t="shared" si="15"/>
        <v>46217</v>
      </c>
      <c r="Q189" s="43">
        <f t="shared" si="13"/>
        <v>0</v>
      </c>
      <c r="R189" s="43">
        <f t="shared" ca="1" si="14"/>
        <v>0</v>
      </c>
      <c r="S189" s="22"/>
      <c r="T189" s="25">
        <v>45217</v>
      </c>
    </row>
    <row r="190" spans="1:20" x14ac:dyDescent="0.3">
      <c r="A190" s="13">
        <v>187</v>
      </c>
      <c r="B190" s="1" t="s">
        <v>710</v>
      </c>
      <c r="C190" s="39">
        <f t="shared" ca="1" si="11"/>
        <v>0</v>
      </c>
      <c r="D190" t="s">
        <v>92</v>
      </c>
      <c r="E190" t="s">
        <v>199</v>
      </c>
      <c r="F190" s="7" t="s">
        <v>79</v>
      </c>
      <c r="G190" s="6" t="s">
        <v>681</v>
      </c>
      <c r="H190" s="2" t="s">
        <v>681</v>
      </c>
      <c r="I190" s="1">
        <v>365</v>
      </c>
      <c r="J190" s="1">
        <v>120</v>
      </c>
      <c r="L190" s="45">
        <f t="shared" si="12"/>
        <v>45583</v>
      </c>
      <c r="M190" s="46">
        <f t="shared" si="15"/>
        <v>45583</v>
      </c>
      <c r="Q190" s="43">
        <f t="shared" si="13"/>
        <v>0</v>
      </c>
      <c r="R190" s="43">
        <f t="shared" ca="1" si="14"/>
        <v>0</v>
      </c>
      <c r="S190" s="22"/>
      <c r="T190" s="25">
        <v>45218</v>
      </c>
    </row>
    <row r="191" spans="1:20" x14ac:dyDescent="0.3">
      <c r="A191" s="13">
        <v>188</v>
      </c>
      <c r="B191" s="1" t="s">
        <v>710</v>
      </c>
      <c r="C191" s="39">
        <f t="shared" ca="1" si="11"/>
        <v>0</v>
      </c>
      <c r="D191" t="s">
        <v>93</v>
      </c>
      <c r="E191" t="s">
        <v>193</v>
      </c>
      <c r="F191" s="7" t="s">
        <v>79</v>
      </c>
      <c r="G191" s="6" t="s">
        <v>681</v>
      </c>
      <c r="H191" s="2" t="s">
        <v>681</v>
      </c>
      <c r="I191" s="1">
        <v>730</v>
      </c>
      <c r="J191" s="1">
        <v>60</v>
      </c>
      <c r="L191" s="45">
        <f t="shared" si="12"/>
        <v>45949</v>
      </c>
      <c r="M191" s="46">
        <f t="shared" si="15"/>
        <v>45949</v>
      </c>
      <c r="Q191" s="43">
        <f t="shared" si="13"/>
        <v>0</v>
      </c>
      <c r="R191" s="43">
        <f t="shared" ca="1" si="14"/>
        <v>0</v>
      </c>
      <c r="S191" s="22"/>
      <c r="T191" s="25">
        <v>45219</v>
      </c>
    </row>
    <row r="192" spans="1:20" x14ac:dyDescent="0.3">
      <c r="A192" s="13">
        <v>189</v>
      </c>
      <c r="B192" s="1" t="s">
        <v>710</v>
      </c>
      <c r="C192" s="39">
        <f t="shared" ca="1" si="11"/>
        <v>1</v>
      </c>
      <c r="D192" t="s">
        <v>93</v>
      </c>
      <c r="E192" t="s">
        <v>194</v>
      </c>
      <c r="F192" s="7" t="s">
        <v>79</v>
      </c>
      <c r="G192" s="6" t="s">
        <v>681</v>
      </c>
      <c r="H192" s="2" t="s">
        <v>681</v>
      </c>
      <c r="I192" s="1">
        <v>730</v>
      </c>
      <c r="J192" s="1">
        <v>60</v>
      </c>
      <c r="L192" s="45">
        <f t="shared" si="12"/>
        <v>45084</v>
      </c>
      <c r="M192" s="46">
        <f t="shared" si="15"/>
        <v>45950</v>
      </c>
      <c r="N192" s="50">
        <v>45084</v>
      </c>
      <c r="Q192" s="43">
        <f t="shared" si="13"/>
        <v>0</v>
      </c>
      <c r="R192" s="43">
        <f t="shared" ca="1" si="14"/>
        <v>0</v>
      </c>
      <c r="S192" s="22">
        <v>1</v>
      </c>
      <c r="T192" s="25">
        <v>45220</v>
      </c>
    </row>
    <row r="193" spans="1:173" x14ac:dyDescent="0.3">
      <c r="A193" s="13">
        <v>190</v>
      </c>
      <c r="B193" s="1" t="s">
        <v>710</v>
      </c>
      <c r="C193" s="39">
        <f t="shared" ca="1" si="11"/>
        <v>0</v>
      </c>
      <c r="D193" t="s">
        <v>93</v>
      </c>
      <c r="E193" t="s">
        <v>195</v>
      </c>
      <c r="F193" s="7" t="s">
        <v>79</v>
      </c>
      <c r="G193" s="6" t="s">
        <v>681</v>
      </c>
      <c r="H193" s="2" t="s">
        <v>681</v>
      </c>
      <c r="I193" s="1">
        <v>1000</v>
      </c>
      <c r="J193" s="1">
        <v>180</v>
      </c>
      <c r="L193" s="45">
        <f t="shared" si="12"/>
        <v>46221</v>
      </c>
      <c r="M193" s="46">
        <f t="shared" si="15"/>
        <v>46221</v>
      </c>
      <c r="Q193" s="43">
        <f t="shared" si="13"/>
        <v>0</v>
      </c>
      <c r="R193" s="43">
        <f t="shared" ca="1" si="14"/>
        <v>0</v>
      </c>
      <c r="S193" s="22"/>
      <c r="T193" s="25">
        <v>45221</v>
      </c>
    </row>
    <row r="194" spans="1:173" x14ac:dyDescent="0.3">
      <c r="A194" s="13">
        <v>191</v>
      </c>
      <c r="B194" s="1" t="s">
        <v>710</v>
      </c>
      <c r="C194" s="39">
        <f t="shared" ca="1" si="11"/>
        <v>0</v>
      </c>
      <c r="D194" t="s">
        <v>93</v>
      </c>
      <c r="E194" t="s">
        <v>191</v>
      </c>
      <c r="F194" s="7" t="s">
        <v>79</v>
      </c>
      <c r="G194" s="6" t="s">
        <v>681</v>
      </c>
      <c r="H194" s="2" t="s">
        <v>681</v>
      </c>
      <c r="I194" s="1">
        <v>1000</v>
      </c>
      <c r="J194" s="1">
        <v>120</v>
      </c>
      <c r="L194" s="45">
        <f t="shared" si="12"/>
        <v>46222</v>
      </c>
      <c r="M194" s="46">
        <f t="shared" si="15"/>
        <v>46222</v>
      </c>
      <c r="Q194" s="43">
        <f t="shared" si="13"/>
        <v>0</v>
      </c>
      <c r="R194" s="43">
        <f t="shared" ca="1" si="14"/>
        <v>0</v>
      </c>
      <c r="S194" s="22"/>
      <c r="T194" s="25">
        <v>45222</v>
      </c>
    </row>
    <row r="195" spans="1:173" x14ac:dyDescent="0.3">
      <c r="A195" s="13">
        <v>192</v>
      </c>
      <c r="B195" s="1" t="s">
        <v>710</v>
      </c>
      <c r="C195" s="39">
        <f t="shared" ca="1" si="11"/>
        <v>0</v>
      </c>
      <c r="D195" t="s">
        <v>93</v>
      </c>
      <c r="E195" t="s">
        <v>196</v>
      </c>
      <c r="F195" s="7" t="s">
        <v>79</v>
      </c>
      <c r="G195" s="6" t="s">
        <v>681</v>
      </c>
      <c r="H195" s="2" t="s">
        <v>681</v>
      </c>
      <c r="I195" s="1">
        <v>1000</v>
      </c>
      <c r="J195" s="1">
        <v>120</v>
      </c>
      <c r="L195" s="45">
        <f t="shared" si="12"/>
        <v>46223</v>
      </c>
      <c r="M195" s="46">
        <f t="shared" si="15"/>
        <v>46223</v>
      </c>
      <c r="Q195" s="43">
        <f t="shared" si="13"/>
        <v>0</v>
      </c>
      <c r="R195" s="43">
        <f t="shared" ca="1" si="14"/>
        <v>0</v>
      </c>
      <c r="S195" s="22"/>
      <c r="T195" s="25">
        <v>45223</v>
      </c>
    </row>
    <row r="196" spans="1:173" x14ac:dyDescent="0.3">
      <c r="A196" s="13">
        <v>193</v>
      </c>
      <c r="B196" s="1" t="s">
        <v>710</v>
      </c>
      <c r="C196" s="39">
        <f t="shared" ca="1" si="11"/>
        <v>0</v>
      </c>
      <c r="D196" t="s">
        <v>94</v>
      </c>
      <c r="E196" t="s">
        <v>193</v>
      </c>
      <c r="F196" s="7" t="s">
        <v>79</v>
      </c>
      <c r="G196" s="6" t="s">
        <v>681</v>
      </c>
      <c r="H196" s="2" t="s">
        <v>681</v>
      </c>
      <c r="I196" s="1">
        <v>730</v>
      </c>
      <c r="J196" s="1">
        <v>60</v>
      </c>
      <c r="L196" s="45">
        <f t="shared" si="12"/>
        <v>45954</v>
      </c>
      <c r="M196" s="46">
        <f t="shared" si="15"/>
        <v>45954</v>
      </c>
      <c r="Q196" s="43">
        <f t="shared" si="13"/>
        <v>0</v>
      </c>
      <c r="R196" s="43">
        <f t="shared" ca="1" si="14"/>
        <v>0</v>
      </c>
      <c r="S196" s="22"/>
      <c r="T196" s="25">
        <v>45224</v>
      </c>
    </row>
    <row r="197" spans="1:173" x14ac:dyDescent="0.3">
      <c r="A197" s="13">
        <v>194</v>
      </c>
      <c r="B197" s="1" t="s">
        <v>710</v>
      </c>
      <c r="C197" s="39">
        <f t="shared" ref="C197:C260" ca="1" si="16">IF(L197&lt;=$A$2,1,0)</f>
        <v>1</v>
      </c>
      <c r="D197" t="s">
        <v>94</v>
      </c>
      <c r="E197" t="s">
        <v>194</v>
      </c>
      <c r="F197" s="7" t="s">
        <v>79</v>
      </c>
      <c r="G197" s="6" t="s">
        <v>681</v>
      </c>
      <c r="H197" s="2" t="s">
        <v>681</v>
      </c>
      <c r="I197" s="1">
        <v>730</v>
      </c>
      <c r="J197" s="1">
        <v>60</v>
      </c>
      <c r="L197" s="45">
        <f t="shared" ref="L197:L260" si="17">IF(N197="",M197,N197)</f>
        <v>45084</v>
      </c>
      <c r="M197" s="46">
        <f t="shared" si="15"/>
        <v>45955</v>
      </c>
      <c r="N197" s="50">
        <v>45084</v>
      </c>
      <c r="Q197" s="43">
        <f t="shared" ref="Q197:Q260" si="18">IF(O197&lt;&gt;0,1,0)</f>
        <v>0</v>
      </c>
      <c r="R197" s="43">
        <f t="shared" ref="R197:R260" ca="1" si="19">IF(AND(L197&lt;($A$2+7), L197&gt;($A$2+6)),1,0)</f>
        <v>0</v>
      </c>
      <c r="S197" s="22"/>
      <c r="T197" s="25">
        <v>45225</v>
      </c>
    </row>
    <row r="198" spans="1:173" x14ac:dyDescent="0.3">
      <c r="A198" s="13">
        <v>195</v>
      </c>
      <c r="B198" s="1" t="s">
        <v>710</v>
      </c>
      <c r="C198" s="39">
        <f t="shared" ca="1" si="16"/>
        <v>0</v>
      </c>
      <c r="D198" t="s">
        <v>94</v>
      </c>
      <c r="E198" t="s">
        <v>195</v>
      </c>
      <c r="F198" s="7" t="s">
        <v>79</v>
      </c>
      <c r="G198" s="6" t="s">
        <v>681</v>
      </c>
      <c r="H198" s="2" t="s">
        <v>681</v>
      </c>
      <c r="I198" s="1">
        <v>1000</v>
      </c>
      <c r="J198" s="1">
        <v>180</v>
      </c>
      <c r="L198" s="45">
        <f t="shared" si="17"/>
        <v>46226</v>
      </c>
      <c r="M198" s="46">
        <f t="shared" si="15"/>
        <v>46226</v>
      </c>
      <c r="Q198" s="43">
        <f t="shared" si="18"/>
        <v>0</v>
      </c>
      <c r="R198" s="43">
        <f t="shared" ca="1" si="19"/>
        <v>0</v>
      </c>
      <c r="S198" s="22"/>
      <c r="T198" s="25">
        <v>45226</v>
      </c>
    </row>
    <row r="199" spans="1:173" x14ac:dyDescent="0.3">
      <c r="A199" s="13">
        <v>196</v>
      </c>
      <c r="B199" s="1" t="s">
        <v>710</v>
      </c>
      <c r="C199" s="39">
        <f t="shared" ca="1" si="16"/>
        <v>0</v>
      </c>
      <c r="D199" t="s">
        <v>94</v>
      </c>
      <c r="E199" t="s">
        <v>191</v>
      </c>
      <c r="F199" s="7" t="s">
        <v>79</v>
      </c>
      <c r="G199" s="6" t="s">
        <v>681</v>
      </c>
      <c r="H199" s="2" t="s">
        <v>681</v>
      </c>
      <c r="I199" s="1">
        <v>1000</v>
      </c>
      <c r="J199" s="1">
        <v>120</v>
      </c>
      <c r="L199" s="45">
        <f t="shared" si="17"/>
        <v>46227</v>
      </c>
      <c r="M199" s="46">
        <f t="shared" si="15"/>
        <v>46227</v>
      </c>
      <c r="Q199" s="43">
        <f t="shared" si="18"/>
        <v>0</v>
      </c>
      <c r="R199" s="43">
        <f t="shared" ca="1" si="19"/>
        <v>0</v>
      </c>
      <c r="S199" s="22"/>
      <c r="T199" s="25">
        <v>45227</v>
      </c>
    </row>
    <row r="200" spans="1:173" x14ac:dyDescent="0.3">
      <c r="A200" s="13">
        <v>197</v>
      </c>
      <c r="B200" s="1" t="s">
        <v>710</v>
      </c>
      <c r="C200" s="39">
        <f t="shared" ca="1" si="16"/>
        <v>0</v>
      </c>
      <c r="D200" t="s">
        <v>94</v>
      </c>
      <c r="E200" t="s">
        <v>196</v>
      </c>
      <c r="F200" s="7" t="s">
        <v>79</v>
      </c>
      <c r="G200" s="6" t="s">
        <v>681</v>
      </c>
      <c r="H200" s="2" t="s">
        <v>681</v>
      </c>
      <c r="I200" s="1">
        <v>1000</v>
      </c>
      <c r="J200" s="1">
        <v>120</v>
      </c>
      <c r="L200" s="45">
        <f t="shared" si="17"/>
        <v>46228</v>
      </c>
      <c r="M200" s="46">
        <f t="shared" si="15"/>
        <v>46228</v>
      </c>
      <c r="Q200" s="43">
        <f t="shared" si="18"/>
        <v>0</v>
      </c>
      <c r="R200" s="43">
        <f t="shared" ca="1" si="19"/>
        <v>0</v>
      </c>
      <c r="S200" s="22"/>
      <c r="T200" s="25">
        <v>45228</v>
      </c>
    </row>
    <row r="201" spans="1:173" x14ac:dyDescent="0.3">
      <c r="A201" s="13">
        <v>198</v>
      </c>
      <c r="B201" s="1" t="s">
        <v>710</v>
      </c>
      <c r="C201" s="39">
        <f t="shared" ca="1" si="16"/>
        <v>0</v>
      </c>
      <c r="D201" t="s">
        <v>95</v>
      </c>
      <c r="E201" t="s">
        <v>193</v>
      </c>
      <c r="F201" s="7" t="s">
        <v>79</v>
      </c>
      <c r="G201" s="6" t="s">
        <v>681</v>
      </c>
      <c r="H201" s="2" t="s">
        <v>681</v>
      </c>
      <c r="I201" s="1">
        <v>730</v>
      </c>
      <c r="J201" s="1">
        <v>120</v>
      </c>
      <c r="L201" s="45">
        <f t="shared" si="17"/>
        <v>45959</v>
      </c>
      <c r="M201" s="46">
        <f t="shared" si="15"/>
        <v>45959</v>
      </c>
      <c r="Q201" s="43">
        <f t="shared" si="18"/>
        <v>0</v>
      </c>
      <c r="R201" s="43">
        <f t="shared" ca="1" si="19"/>
        <v>0</v>
      </c>
      <c r="S201" s="22"/>
      <c r="T201" s="25">
        <v>45229</v>
      </c>
    </row>
    <row r="202" spans="1:173" x14ac:dyDescent="0.3">
      <c r="A202" s="13">
        <v>199</v>
      </c>
      <c r="B202" s="1" t="s">
        <v>710</v>
      </c>
      <c r="C202" s="39">
        <f t="shared" ca="1" si="16"/>
        <v>0</v>
      </c>
      <c r="D202" t="s">
        <v>95</v>
      </c>
      <c r="E202" t="s">
        <v>194</v>
      </c>
      <c r="F202" s="7" t="s">
        <v>79</v>
      </c>
      <c r="G202" s="6" t="s">
        <v>681</v>
      </c>
      <c r="H202" s="2" t="s">
        <v>681</v>
      </c>
      <c r="I202" s="1">
        <v>730</v>
      </c>
      <c r="J202" s="1">
        <v>120</v>
      </c>
      <c r="K202" s="20">
        <v>45</v>
      </c>
      <c r="L202" s="45">
        <f t="shared" si="17"/>
        <v>45831</v>
      </c>
      <c r="M202" s="46">
        <f t="shared" si="15"/>
        <v>45831</v>
      </c>
      <c r="Q202" s="43">
        <f t="shared" si="18"/>
        <v>0</v>
      </c>
      <c r="R202" s="43">
        <f t="shared" ca="1" si="19"/>
        <v>0</v>
      </c>
      <c r="S202" s="22"/>
      <c r="T202" s="25">
        <v>45101</v>
      </c>
      <c r="U202" s="25">
        <v>45230</v>
      </c>
      <c r="V202" s="31"/>
      <c r="FQ202" s="17"/>
    </row>
    <row r="203" spans="1:173" x14ac:dyDescent="0.3">
      <c r="A203" s="13">
        <v>200</v>
      </c>
      <c r="B203" s="1" t="s">
        <v>710</v>
      </c>
      <c r="C203" s="39">
        <f t="shared" ca="1" si="16"/>
        <v>0</v>
      </c>
      <c r="D203" t="s">
        <v>95</v>
      </c>
      <c r="E203" t="s">
        <v>191</v>
      </c>
      <c r="F203" s="7" t="s">
        <v>79</v>
      </c>
      <c r="G203" s="6" t="s">
        <v>681</v>
      </c>
      <c r="H203" s="2" t="s">
        <v>681</v>
      </c>
      <c r="I203" s="1">
        <v>1000</v>
      </c>
      <c r="J203" s="1">
        <v>120</v>
      </c>
      <c r="L203" s="45">
        <f t="shared" si="17"/>
        <v>46231</v>
      </c>
      <c r="M203" s="46">
        <f t="shared" si="15"/>
        <v>46231</v>
      </c>
      <c r="Q203" s="43">
        <f t="shared" si="18"/>
        <v>0</v>
      </c>
      <c r="R203" s="43">
        <f t="shared" ca="1" si="19"/>
        <v>0</v>
      </c>
      <c r="S203" s="22"/>
      <c r="T203" s="25">
        <v>45231</v>
      </c>
    </row>
    <row r="204" spans="1:173" x14ac:dyDescent="0.3">
      <c r="A204" s="13">
        <v>201</v>
      </c>
      <c r="B204" s="1" t="s">
        <v>710</v>
      </c>
      <c r="C204" s="39">
        <f t="shared" ca="1" si="16"/>
        <v>0</v>
      </c>
      <c r="D204" t="s">
        <v>95</v>
      </c>
      <c r="E204" t="s">
        <v>192</v>
      </c>
      <c r="F204" s="7" t="s">
        <v>79</v>
      </c>
      <c r="G204" s="6" t="s">
        <v>681</v>
      </c>
      <c r="H204" s="2" t="s">
        <v>681</v>
      </c>
      <c r="I204" s="1">
        <v>1000</v>
      </c>
      <c r="J204" s="1">
        <v>120</v>
      </c>
      <c r="L204" s="45">
        <f t="shared" si="17"/>
        <v>46092</v>
      </c>
      <c r="M204" s="46">
        <f t="shared" si="15"/>
        <v>46092</v>
      </c>
      <c r="Q204" s="43">
        <f t="shared" si="18"/>
        <v>0</v>
      </c>
      <c r="R204" s="43">
        <f t="shared" ca="1" si="19"/>
        <v>0</v>
      </c>
      <c r="S204" s="22"/>
      <c r="T204" s="25">
        <v>45092</v>
      </c>
    </row>
    <row r="205" spans="1:173" x14ac:dyDescent="0.3">
      <c r="A205" s="13">
        <v>202</v>
      </c>
      <c r="B205" s="1" t="s">
        <v>710</v>
      </c>
      <c r="C205" s="39">
        <f t="shared" ca="1" si="16"/>
        <v>0</v>
      </c>
      <c r="D205" t="s">
        <v>95</v>
      </c>
      <c r="E205" t="s">
        <v>199</v>
      </c>
      <c r="F205" s="7" t="s">
        <v>79</v>
      </c>
      <c r="G205" s="6" t="s">
        <v>681</v>
      </c>
      <c r="H205" s="2" t="s">
        <v>681</v>
      </c>
      <c r="I205" s="1">
        <v>365</v>
      </c>
      <c r="J205" s="1">
        <v>120</v>
      </c>
      <c r="L205" s="45">
        <f t="shared" si="17"/>
        <v>45598</v>
      </c>
      <c r="M205" s="46">
        <f t="shared" si="15"/>
        <v>45598</v>
      </c>
      <c r="Q205" s="43">
        <f t="shared" si="18"/>
        <v>0</v>
      </c>
      <c r="R205" s="43">
        <f t="shared" ca="1" si="19"/>
        <v>0</v>
      </c>
      <c r="S205" s="22"/>
      <c r="T205" s="25">
        <v>45233</v>
      </c>
    </row>
    <row r="206" spans="1:173" x14ac:dyDescent="0.3">
      <c r="A206" s="13">
        <v>203</v>
      </c>
      <c r="B206" s="1" t="s">
        <v>709</v>
      </c>
      <c r="C206" s="39">
        <f t="shared" ca="1" si="16"/>
        <v>1</v>
      </c>
      <c r="D206" t="s">
        <v>96</v>
      </c>
      <c r="E206" t="s">
        <v>200</v>
      </c>
      <c r="F206" s="7" t="s">
        <v>79</v>
      </c>
      <c r="G206" s="6" t="s">
        <v>681</v>
      </c>
      <c r="H206" s="2" t="s">
        <v>681</v>
      </c>
      <c r="I206" s="1">
        <v>730</v>
      </c>
      <c r="J206" s="1">
        <v>120</v>
      </c>
      <c r="L206" s="45">
        <f t="shared" si="17"/>
        <v>45084</v>
      </c>
      <c r="M206" s="46">
        <f t="shared" si="15"/>
        <v>45964</v>
      </c>
      <c r="N206" s="50">
        <v>45084</v>
      </c>
      <c r="Q206" s="43">
        <f t="shared" si="18"/>
        <v>0</v>
      </c>
      <c r="R206" s="43">
        <f t="shared" ca="1" si="19"/>
        <v>0</v>
      </c>
      <c r="S206" s="22"/>
      <c r="T206" s="25">
        <v>45234</v>
      </c>
    </row>
    <row r="207" spans="1:173" x14ac:dyDescent="0.3">
      <c r="A207" s="13">
        <v>204</v>
      </c>
      <c r="B207" s="1" t="s">
        <v>709</v>
      </c>
      <c r="C207" s="39">
        <f t="shared" ca="1" si="16"/>
        <v>0</v>
      </c>
      <c r="D207" t="s">
        <v>96</v>
      </c>
      <c r="E207" t="s">
        <v>190</v>
      </c>
      <c r="F207" s="7" t="s">
        <v>79</v>
      </c>
      <c r="G207" s="6" t="s">
        <v>681</v>
      </c>
      <c r="H207" s="2" t="s">
        <v>681</v>
      </c>
      <c r="I207" s="1">
        <v>730</v>
      </c>
      <c r="J207" s="1">
        <v>120</v>
      </c>
      <c r="L207" s="45">
        <f t="shared" si="17"/>
        <v>45965</v>
      </c>
      <c r="M207" s="46">
        <f t="shared" si="15"/>
        <v>45965</v>
      </c>
      <c r="Q207" s="43">
        <f t="shared" si="18"/>
        <v>0</v>
      </c>
      <c r="R207" s="43">
        <f t="shared" ca="1" si="19"/>
        <v>0</v>
      </c>
      <c r="S207" s="22"/>
      <c r="T207" s="25">
        <v>45235</v>
      </c>
    </row>
    <row r="208" spans="1:173" x14ac:dyDescent="0.3">
      <c r="A208" s="13">
        <v>205</v>
      </c>
      <c r="B208" s="1" t="s">
        <v>709</v>
      </c>
      <c r="C208" s="39">
        <f t="shared" ca="1" si="16"/>
        <v>0</v>
      </c>
      <c r="D208" t="s">
        <v>96</v>
      </c>
      <c r="E208" t="s">
        <v>201</v>
      </c>
      <c r="F208" s="7" t="s">
        <v>79</v>
      </c>
      <c r="G208" s="6" t="s">
        <v>681</v>
      </c>
      <c r="H208" s="2" t="s">
        <v>681</v>
      </c>
      <c r="I208" s="1">
        <v>365</v>
      </c>
      <c r="J208" s="1">
        <v>30</v>
      </c>
      <c r="L208" s="45">
        <f t="shared" si="17"/>
        <v>45601</v>
      </c>
      <c r="M208" s="46">
        <f t="shared" si="15"/>
        <v>45601</v>
      </c>
      <c r="Q208" s="43">
        <f t="shared" si="18"/>
        <v>0</v>
      </c>
      <c r="R208" s="43">
        <f t="shared" ca="1" si="19"/>
        <v>0</v>
      </c>
      <c r="S208" s="22"/>
      <c r="T208" s="25">
        <v>45236</v>
      </c>
    </row>
    <row r="209" spans="1:173" x14ac:dyDescent="0.3">
      <c r="A209" s="13">
        <v>206</v>
      </c>
      <c r="B209" s="1" t="s">
        <v>709</v>
      </c>
      <c r="C209" s="39">
        <f t="shared" ca="1" si="16"/>
        <v>0</v>
      </c>
      <c r="D209" t="s">
        <v>96</v>
      </c>
      <c r="E209" t="s">
        <v>202</v>
      </c>
      <c r="F209" s="7" t="s">
        <v>79</v>
      </c>
      <c r="G209" s="6" t="s">
        <v>681</v>
      </c>
      <c r="H209" s="2" t="s">
        <v>681</v>
      </c>
      <c r="I209" s="1">
        <v>730</v>
      </c>
      <c r="J209" s="1">
        <v>30</v>
      </c>
      <c r="L209" s="45">
        <f t="shared" si="17"/>
        <v>45967</v>
      </c>
      <c r="M209" s="46">
        <f t="shared" si="15"/>
        <v>45967</v>
      </c>
      <c r="Q209" s="43">
        <f t="shared" si="18"/>
        <v>0</v>
      </c>
      <c r="R209" s="43">
        <f t="shared" ca="1" si="19"/>
        <v>0</v>
      </c>
      <c r="S209" s="22"/>
      <c r="T209" s="25">
        <v>45237</v>
      </c>
    </row>
    <row r="210" spans="1:173" x14ac:dyDescent="0.3">
      <c r="A210" s="13">
        <v>207</v>
      </c>
      <c r="B210" s="1" t="s">
        <v>709</v>
      </c>
      <c r="C210" s="39">
        <f t="shared" ca="1" si="16"/>
        <v>0</v>
      </c>
      <c r="D210" t="s">
        <v>96</v>
      </c>
      <c r="E210" t="s">
        <v>203</v>
      </c>
      <c r="F210" s="7" t="s">
        <v>79</v>
      </c>
      <c r="G210" s="6" t="s">
        <v>681</v>
      </c>
      <c r="H210" s="2" t="s">
        <v>681</v>
      </c>
      <c r="I210" s="1">
        <v>1000</v>
      </c>
      <c r="J210" s="1">
        <v>30</v>
      </c>
      <c r="L210" s="45">
        <f t="shared" si="17"/>
        <v>46238</v>
      </c>
      <c r="M210" s="46">
        <f t="shared" si="15"/>
        <v>46238</v>
      </c>
      <c r="Q210" s="43">
        <f t="shared" si="18"/>
        <v>0</v>
      </c>
      <c r="R210" s="43">
        <f t="shared" ca="1" si="19"/>
        <v>0</v>
      </c>
      <c r="S210" s="22"/>
      <c r="T210" s="25">
        <v>45238</v>
      </c>
    </row>
    <row r="211" spans="1:173" x14ac:dyDescent="0.3">
      <c r="A211" s="13">
        <v>208</v>
      </c>
      <c r="B211" s="1" t="s">
        <v>709</v>
      </c>
      <c r="C211" s="39">
        <f t="shared" ca="1" si="16"/>
        <v>0</v>
      </c>
      <c r="D211" t="s">
        <v>96</v>
      </c>
      <c r="E211" t="s">
        <v>204</v>
      </c>
      <c r="F211" s="7" t="s">
        <v>79</v>
      </c>
      <c r="G211" s="6" t="s">
        <v>681</v>
      </c>
      <c r="H211" s="2" t="s">
        <v>681</v>
      </c>
      <c r="I211" s="1">
        <v>1000</v>
      </c>
      <c r="J211" s="1">
        <v>60</v>
      </c>
      <c r="L211" s="45">
        <f t="shared" si="17"/>
        <v>46239</v>
      </c>
      <c r="M211" s="46">
        <f t="shared" si="15"/>
        <v>46239</v>
      </c>
      <c r="Q211" s="43">
        <f t="shared" si="18"/>
        <v>0</v>
      </c>
      <c r="R211" s="43">
        <f t="shared" ca="1" si="19"/>
        <v>0</v>
      </c>
      <c r="S211" s="22"/>
      <c r="T211" s="25">
        <v>45239</v>
      </c>
    </row>
    <row r="212" spans="1:173" x14ac:dyDescent="0.3">
      <c r="A212" s="13">
        <v>209</v>
      </c>
      <c r="B212" s="1" t="s">
        <v>709</v>
      </c>
      <c r="C212" s="39">
        <f t="shared" ca="1" si="16"/>
        <v>0</v>
      </c>
      <c r="D212" t="s">
        <v>96</v>
      </c>
      <c r="E212" t="s">
        <v>188</v>
      </c>
      <c r="F212" s="7" t="s">
        <v>79</v>
      </c>
      <c r="G212" s="6" t="s">
        <v>681</v>
      </c>
      <c r="H212" s="2" t="s">
        <v>681</v>
      </c>
      <c r="I212" s="1">
        <v>365</v>
      </c>
      <c r="J212" s="1">
        <v>30</v>
      </c>
      <c r="L212" s="45">
        <f t="shared" si="17"/>
        <v>45605</v>
      </c>
      <c r="M212" s="46">
        <f t="shared" si="15"/>
        <v>45605</v>
      </c>
      <c r="Q212" s="43">
        <f t="shared" si="18"/>
        <v>0</v>
      </c>
      <c r="R212" s="43">
        <f t="shared" ca="1" si="19"/>
        <v>0</v>
      </c>
      <c r="S212" s="22"/>
      <c r="T212" s="25">
        <v>45240</v>
      </c>
    </row>
    <row r="213" spans="1:173" x14ac:dyDescent="0.3">
      <c r="A213" s="13">
        <v>210</v>
      </c>
      <c r="B213" s="4" t="s">
        <v>699</v>
      </c>
      <c r="C213" s="39">
        <f t="shared" ca="1" si="16"/>
        <v>0</v>
      </c>
      <c r="D213" t="s">
        <v>34</v>
      </c>
      <c r="E213" t="s">
        <v>205</v>
      </c>
      <c r="F213" s="7" t="s">
        <v>79</v>
      </c>
      <c r="G213" s="6" t="s">
        <v>681</v>
      </c>
      <c r="H213" s="2" t="s">
        <v>681</v>
      </c>
      <c r="I213" s="1">
        <v>730</v>
      </c>
      <c r="J213" s="1">
        <v>180</v>
      </c>
      <c r="L213" s="45">
        <f t="shared" si="17"/>
        <v>45971</v>
      </c>
      <c r="M213" s="46">
        <f t="shared" si="15"/>
        <v>45971</v>
      </c>
      <c r="Q213" s="43">
        <f t="shared" si="18"/>
        <v>0</v>
      </c>
      <c r="R213" s="43">
        <f t="shared" ca="1" si="19"/>
        <v>0</v>
      </c>
      <c r="S213" s="22"/>
      <c r="T213" s="25">
        <v>45241</v>
      </c>
    </row>
    <row r="214" spans="1:173" x14ac:dyDescent="0.3">
      <c r="A214" s="13">
        <v>211</v>
      </c>
      <c r="B214" s="4" t="s">
        <v>699</v>
      </c>
      <c r="C214" s="39">
        <f t="shared" ca="1" si="16"/>
        <v>0</v>
      </c>
      <c r="D214" t="s">
        <v>34</v>
      </c>
      <c r="E214" t="s">
        <v>190</v>
      </c>
      <c r="F214" s="7" t="s">
        <v>79</v>
      </c>
      <c r="G214" s="6" t="s">
        <v>681</v>
      </c>
      <c r="H214" s="2" t="s">
        <v>681</v>
      </c>
      <c r="I214" s="1">
        <v>730</v>
      </c>
      <c r="J214" s="1">
        <v>180</v>
      </c>
      <c r="K214" s="20">
        <v>33</v>
      </c>
      <c r="L214" s="45">
        <f t="shared" si="17"/>
        <v>45831</v>
      </c>
      <c r="M214" s="46">
        <f t="shared" si="15"/>
        <v>45831</v>
      </c>
      <c r="P214" s="20" t="s">
        <v>72</v>
      </c>
      <c r="Q214" s="43">
        <f t="shared" si="18"/>
        <v>0</v>
      </c>
      <c r="R214" s="43">
        <f t="shared" ca="1" si="19"/>
        <v>0</v>
      </c>
      <c r="S214" s="22"/>
      <c r="T214" s="25">
        <v>45101</v>
      </c>
      <c r="U214" s="25">
        <v>45242</v>
      </c>
      <c r="V214" s="31"/>
      <c r="FQ214" s="17"/>
    </row>
    <row r="215" spans="1:173" x14ac:dyDescent="0.3">
      <c r="A215" s="13">
        <v>212</v>
      </c>
      <c r="B215" s="4" t="s">
        <v>699</v>
      </c>
      <c r="C215" s="39">
        <f t="shared" ca="1" si="16"/>
        <v>0</v>
      </c>
      <c r="D215" t="s">
        <v>34</v>
      </c>
      <c r="E215" t="s">
        <v>188</v>
      </c>
      <c r="F215" s="7" t="s">
        <v>79</v>
      </c>
      <c r="G215" s="6" t="s">
        <v>681</v>
      </c>
      <c r="H215" s="2" t="s">
        <v>681</v>
      </c>
      <c r="I215" s="1">
        <v>365</v>
      </c>
      <c r="J215" s="1">
        <v>30</v>
      </c>
      <c r="L215" s="45">
        <f t="shared" si="17"/>
        <v>45608</v>
      </c>
      <c r="M215" s="46">
        <f t="shared" si="15"/>
        <v>45608</v>
      </c>
      <c r="Q215" s="43">
        <f t="shared" si="18"/>
        <v>0</v>
      </c>
      <c r="R215" s="43">
        <f t="shared" ca="1" si="19"/>
        <v>0</v>
      </c>
      <c r="S215" s="22"/>
      <c r="T215" s="25">
        <v>45243</v>
      </c>
    </row>
    <row r="216" spans="1:173" x14ac:dyDescent="0.3">
      <c r="A216" s="13">
        <v>213</v>
      </c>
      <c r="B216" s="4" t="s">
        <v>700</v>
      </c>
      <c r="C216" s="39">
        <f t="shared" ca="1" si="16"/>
        <v>0</v>
      </c>
      <c r="D216" t="s">
        <v>97</v>
      </c>
      <c r="E216" t="s">
        <v>206</v>
      </c>
      <c r="F216" s="7" t="s">
        <v>79</v>
      </c>
      <c r="G216" s="6" t="s">
        <v>681</v>
      </c>
      <c r="H216" s="2" t="s">
        <v>681</v>
      </c>
      <c r="I216" s="1">
        <v>365</v>
      </c>
      <c r="J216" s="1">
        <v>180</v>
      </c>
      <c r="L216" s="45">
        <f t="shared" si="17"/>
        <v>45609</v>
      </c>
      <c r="M216" s="46">
        <f t="shared" si="15"/>
        <v>45609</v>
      </c>
      <c r="Q216" s="43">
        <f t="shared" si="18"/>
        <v>0</v>
      </c>
      <c r="R216" s="43">
        <f t="shared" ca="1" si="19"/>
        <v>0</v>
      </c>
      <c r="S216" s="22"/>
      <c r="T216" s="25">
        <v>45244</v>
      </c>
    </row>
    <row r="217" spans="1:173" x14ac:dyDescent="0.3">
      <c r="A217" s="13">
        <v>214</v>
      </c>
      <c r="B217" s="4" t="s">
        <v>700</v>
      </c>
      <c r="C217" s="39">
        <f t="shared" ca="1" si="16"/>
        <v>0</v>
      </c>
      <c r="D217" t="s">
        <v>97</v>
      </c>
      <c r="E217" t="s">
        <v>207</v>
      </c>
      <c r="F217" s="7" t="s">
        <v>79</v>
      </c>
      <c r="G217" s="6" t="s">
        <v>681</v>
      </c>
      <c r="H217" s="2" t="s">
        <v>681</v>
      </c>
      <c r="I217" s="1">
        <v>365</v>
      </c>
      <c r="J217" s="1">
        <v>180</v>
      </c>
      <c r="L217" s="45">
        <f t="shared" si="17"/>
        <v>45610</v>
      </c>
      <c r="M217" s="46">
        <f t="shared" si="15"/>
        <v>45610</v>
      </c>
      <c r="Q217" s="43">
        <f t="shared" si="18"/>
        <v>0</v>
      </c>
      <c r="R217" s="43">
        <f t="shared" ca="1" si="19"/>
        <v>0</v>
      </c>
      <c r="S217" s="22"/>
      <c r="T217" s="25">
        <v>45245</v>
      </c>
    </row>
    <row r="218" spans="1:173" x14ac:dyDescent="0.3">
      <c r="A218" s="13">
        <v>215</v>
      </c>
      <c r="B218" s="4" t="s">
        <v>700</v>
      </c>
      <c r="C218" s="39">
        <f t="shared" ca="1" si="16"/>
        <v>0</v>
      </c>
      <c r="D218" t="s">
        <v>97</v>
      </c>
      <c r="E218" t="s">
        <v>208</v>
      </c>
      <c r="F218" s="7" t="s">
        <v>79</v>
      </c>
      <c r="G218" s="6" t="s">
        <v>681</v>
      </c>
      <c r="H218" s="2" t="s">
        <v>681</v>
      </c>
      <c r="I218" s="1">
        <v>365</v>
      </c>
      <c r="J218" s="1">
        <v>120</v>
      </c>
      <c r="L218" s="45">
        <f t="shared" si="17"/>
        <v>45611</v>
      </c>
      <c r="M218" s="46">
        <f t="shared" si="15"/>
        <v>45611</v>
      </c>
      <c r="Q218" s="43">
        <f t="shared" si="18"/>
        <v>0</v>
      </c>
      <c r="R218" s="43">
        <f t="shared" ca="1" si="19"/>
        <v>0</v>
      </c>
      <c r="S218" s="22"/>
      <c r="T218" s="25">
        <v>45246</v>
      </c>
    </row>
    <row r="219" spans="1:173" x14ac:dyDescent="0.3">
      <c r="A219" s="13">
        <v>216</v>
      </c>
      <c r="B219" s="4" t="s">
        <v>700</v>
      </c>
      <c r="C219" s="39">
        <f t="shared" ca="1" si="16"/>
        <v>1</v>
      </c>
      <c r="D219" t="s">
        <v>97</v>
      </c>
      <c r="E219" t="s">
        <v>209</v>
      </c>
      <c r="F219" s="7" t="s">
        <v>79</v>
      </c>
      <c r="G219" s="6" t="s">
        <v>681</v>
      </c>
      <c r="H219" s="2" t="s">
        <v>681</v>
      </c>
      <c r="I219" s="1">
        <v>365</v>
      </c>
      <c r="J219" s="1">
        <v>120</v>
      </c>
      <c r="L219" s="45">
        <f t="shared" si="17"/>
        <v>45084</v>
      </c>
      <c r="M219" s="46">
        <f t="shared" si="15"/>
        <v>45612</v>
      </c>
      <c r="N219" s="50">
        <v>45084</v>
      </c>
      <c r="Q219" s="43">
        <f t="shared" si="18"/>
        <v>0</v>
      </c>
      <c r="R219" s="43">
        <f t="shared" ca="1" si="19"/>
        <v>0</v>
      </c>
      <c r="S219" s="22">
        <v>1</v>
      </c>
      <c r="T219" s="25">
        <v>45247</v>
      </c>
    </row>
    <row r="220" spans="1:173" x14ac:dyDescent="0.3">
      <c r="A220" s="13">
        <v>217</v>
      </c>
      <c r="B220" s="4" t="s">
        <v>700</v>
      </c>
      <c r="C220" s="39">
        <f t="shared" ca="1" si="16"/>
        <v>0</v>
      </c>
      <c r="D220" t="s">
        <v>97</v>
      </c>
      <c r="E220" t="s">
        <v>210</v>
      </c>
      <c r="F220" s="7" t="s">
        <v>79</v>
      </c>
      <c r="G220" s="6" t="s">
        <v>681</v>
      </c>
      <c r="H220" s="2" t="s">
        <v>681</v>
      </c>
      <c r="I220" s="1">
        <v>730</v>
      </c>
      <c r="J220" s="1">
        <v>30</v>
      </c>
      <c r="L220" s="45">
        <f t="shared" si="17"/>
        <v>45978</v>
      </c>
      <c r="M220" s="46">
        <f t="shared" si="15"/>
        <v>45978</v>
      </c>
      <c r="Q220" s="43">
        <f t="shared" si="18"/>
        <v>0</v>
      </c>
      <c r="R220" s="43">
        <f t="shared" ca="1" si="19"/>
        <v>0</v>
      </c>
      <c r="S220" s="22"/>
      <c r="T220" s="25">
        <v>45248</v>
      </c>
    </row>
    <row r="221" spans="1:173" x14ac:dyDescent="0.3">
      <c r="A221" s="13">
        <v>218</v>
      </c>
      <c r="B221" s="4" t="s">
        <v>700</v>
      </c>
      <c r="C221" s="39">
        <f t="shared" ca="1" si="16"/>
        <v>0</v>
      </c>
      <c r="D221" t="s">
        <v>97</v>
      </c>
      <c r="E221" t="s">
        <v>188</v>
      </c>
      <c r="F221" s="7" t="s">
        <v>79</v>
      </c>
      <c r="G221" s="6" t="s">
        <v>681</v>
      </c>
      <c r="H221" s="2" t="s">
        <v>681</v>
      </c>
      <c r="I221" s="1">
        <v>365</v>
      </c>
      <c r="J221" s="1">
        <v>30</v>
      </c>
      <c r="L221" s="45">
        <f t="shared" si="17"/>
        <v>45614</v>
      </c>
      <c r="M221" s="46">
        <f t="shared" si="15"/>
        <v>45614</v>
      </c>
      <c r="Q221" s="43">
        <f t="shared" si="18"/>
        <v>0</v>
      </c>
      <c r="R221" s="43">
        <f t="shared" ca="1" si="19"/>
        <v>0</v>
      </c>
      <c r="S221" s="22"/>
      <c r="T221" s="25">
        <v>45249</v>
      </c>
    </row>
    <row r="222" spans="1:173" x14ac:dyDescent="0.3">
      <c r="A222" s="13">
        <v>219</v>
      </c>
      <c r="B222" s="4" t="s">
        <v>700</v>
      </c>
      <c r="C222" s="39">
        <f t="shared" ca="1" si="16"/>
        <v>0</v>
      </c>
      <c r="D222" t="s">
        <v>98</v>
      </c>
      <c r="E222" t="s">
        <v>205</v>
      </c>
      <c r="F222" s="7" t="s">
        <v>79</v>
      </c>
      <c r="G222" s="6" t="s">
        <v>681</v>
      </c>
      <c r="H222" s="2" t="s">
        <v>681</v>
      </c>
      <c r="I222" s="1">
        <v>730</v>
      </c>
      <c r="J222" s="1">
        <v>120</v>
      </c>
      <c r="L222" s="45">
        <f t="shared" si="17"/>
        <v>45980</v>
      </c>
      <c r="M222" s="46">
        <f t="shared" si="15"/>
        <v>45980</v>
      </c>
      <c r="Q222" s="43">
        <f t="shared" si="18"/>
        <v>0</v>
      </c>
      <c r="R222" s="43">
        <f t="shared" ca="1" si="19"/>
        <v>0</v>
      </c>
      <c r="S222" s="22"/>
      <c r="T222" s="25">
        <v>45250</v>
      </c>
    </row>
    <row r="223" spans="1:173" x14ac:dyDescent="0.3">
      <c r="A223" s="13">
        <v>220</v>
      </c>
      <c r="B223" s="4" t="s">
        <v>700</v>
      </c>
      <c r="C223" s="39">
        <f t="shared" ca="1" si="16"/>
        <v>0</v>
      </c>
      <c r="D223" t="s">
        <v>98</v>
      </c>
      <c r="E223" t="s">
        <v>190</v>
      </c>
      <c r="F223" s="7" t="s">
        <v>79</v>
      </c>
      <c r="G223" s="6" t="s">
        <v>681</v>
      </c>
      <c r="H223" s="2" t="s">
        <v>681</v>
      </c>
      <c r="I223" s="1">
        <v>730</v>
      </c>
      <c r="J223" s="1">
        <v>120</v>
      </c>
      <c r="L223" s="45">
        <f t="shared" si="17"/>
        <v>45981</v>
      </c>
      <c r="M223" s="46">
        <f t="shared" si="15"/>
        <v>45981</v>
      </c>
      <c r="Q223" s="43">
        <f t="shared" si="18"/>
        <v>0</v>
      </c>
      <c r="R223" s="43">
        <f t="shared" ca="1" si="19"/>
        <v>0</v>
      </c>
      <c r="S223" s="22"/>
      <c r="T223" s="25">
        <v>45251</v>
      </c>
    </row>
    <row r="224" spans="1:173" x14ac:dyDescent="0.3">
      <c r="A224" s="13">
        <v>221</v>
      </c>
      <c r="B224" s="4" t="s">
        <v>700</v>
      </c>
      <c r="C224" s="39">
        <f t="shared" ca="1" si="16"/>
        <v>0</v>
      </c>
      <c r="D224" t="s">
        <v>98</v>
      </c>
      <c r="E224" t="s">
        <v>210</v>
      </c>
      <c r="F224" s="7" t="s">
        <v>79</v>
      </c>
      <c r="G224" s="6" t="s">
        <v>681</v>
      </c>
      <c r="H224" s="2" t="s">
        <v>681</v>
      </c>
      <c r="I224" s="1">
        <v>730</v>
      </c>
      <c r="J224" s="1">
        <v>30</v>
      </c>
      <c r="L224" s="45">
        <f t="shared" si="17"/>
        <v>45982</v>
      </c>
      <c r="M224" s="46">
        <f t="shared" si="15"/>
        <v>45982</v>
      </c>
      <c r="Q224" s="43">
        <f t="shared" si="18"/>
        <v>0</v>
      </c>
      <c r="R224" s="43">
        <f t="shared" ca="1" si="19"/>
        <v>0</v>
      </c>
      <c r="S224" s="22"/>
      <c r="T224" s="25">
        <v>45252</v>
      </c>
    </row>
    <row r="225" spans="1:173" x14ac:dyDescent="0.3">
      <c r="A225" s="13">
        <v>222</v>
      </c>
      <c r="B225" s="4" t="s">
        <v>700</v>
      </c>
      <c r="C225" s="39">
        <f t="shared" ca="1" si="16"/>
        <v>1</v>
      </c>
      <c r="D225" t="s">
        <v>98</v>
      </c>
      <c r="E225" t="s">
        <v>211</v>
      </c>
      <c r="F225" s="7" t="s">
        <v>79</v>
      </c>
      <c r="G225" s="6" t="s">
        <v>681</v>
      </c>
      <c r="H225" s="2" t="s">
        <v>681</v>
      </c>
      <c r="I225" s="1">
        <v>1000</v>
      </c>
      <c r="J225" s="1">
        <v>30</v>
      </c>
      <c r="L225" s="45">
        <f t="shared" si="17"/>
        <v>45084</v>
      </c>
      <c r="M225" s="46">
        <f t="shared" ref="M225:M288" si="20">T225+I225</f>
        <v>46253</v>
      </c>
      <c r="N225" s="50">
        <v>45084</v>
      </c>
      <c r="Q225" s="43">
        <f t="shared" si="18"/>
        <v>0</v>
      </c>
      <c r="R225" s="43">
        <f t="shared" ca="1" si="19"/>
        <v>0</v>
      </c>
      <c r="S225" s="22"/>
      <c r="T225" s="25">
        <v>45253</v>
      </c>
    </row>
    <row r="226" spans="1:173" x14ac:dyDescent="0.3">
      <c r="A226" s="13">
        <v>223</v>
      </c>
      <c r="B226" s="4" t="s">
        <v>700</v>
      </c>
      <c r="C226" s="39">
        <f t="shared" ca="1" si="16"/>
        <v>0</v>
      </c>
      <c r="D226" t="s">
        <v>98</v>
      </c>
      <c r="E226" t="s">
        <v>204</v>
      </c>
      <c r="F226" s="7" t="s">
        <v>79</v>
      </c>
      <c r="G226" s="6" t="s">
        <v>681</v>
      </c>
      <c r="H226" s="2" t="s">
        <v>681</v>
      </c>
      <c r="I226" s="1">
        <v>1000</v>
      </c>
      <c r="J226" s="1">
        <v>60</v>
      </c>
      <c r="L226" s="45">
        <f t="shared" si="17"/>
        <v>46254</v>
      </c>
      <c r="M226" s="46">
        <f t="shared" si="20"/>
        <v>46254</v>
      </c>
      <c r="Q226" s="43">
        <f t="shared" si="18"/>
        <v>0</v>
      </c>
      <c r="R226" s="43">
        <f t="shared" ca="1" si="19"/>
        <v>0</v>
      </c>
      <c r="S226" s="22"/>
      <c r="T226" s="25">
        <v>45254</v>
      </c>
    </row>
    <row r="227" spans="1:173" x14ac:dyDescent="0.3">
      <c r="A227" s="13">
        <v>224</v>
      </c>
      <c r="B227" s="4" t="s">
        <v>700</v>
      </c>
      <c r="C227" s="39">
        <f t="shared" ca="1" si="16"/>
        <v>0</v>
      </c>
      <c r="D227" t="s">
        <v>98</v>
      </c>
      <c r="E227" t="s">
        <v>188</v>
      </c>
      <c r="F227" s="7" t="s">
        <v>79</v>
      </c>
      <c r="G227" s="6" t="s">
        <v>681</v>
      </c>
      <c r="H227" s="2" t="s">
        <v>681</v>
      </c>
      <c r="I227" s="1">
        <v>365</v>
      </c>
      <c r="J227" s="1">
        <v>30</v>
      </c>
      <c r="L227" s="45">
        <f t="shared" si="17"/>
        <v>45620</v>
      </c>
      <c r="M227" s="46">
        <f t="shared" si="20"/>
        <v>45620</v>
      </c>
      <c r="Q227" s="43">
        <f t="shared" si="18"/>
        <v>0</v>
      </c>
      <c r="R227" s="43">
        <f t="shared" ca="1" si="19"/>
        <v>0</v>
      </c>
      <c r="S227" s="22"/>
      <c r="T227" s="25">
        <v>45255</v>
      </c>
    </row>
    <row r="228" spans="1:173" x14ac:dyDescent="0.3">
      <c r="A228" s="13">
        <v>225</v>
      </c>
      <c r="B228" s="4" t="s">
        <v>701</v>
      </c>
      <c r="C228" s="39">
        <f t="shared" ca="1" si="16"/>
        <v>0</v>
      </c>
      <c r="D228" t="s">
        <v>99</v>
      </c>
      <c r="E228" t="s">
        <v>200</v>
      </c>
      <c r="F228" s="7" t="s">
        <v>79</v>
      </c>
      <c r="G228" s="6" t="s">
        <v>681</v>
      </c>
      <c r="H228" s="2" t="s">
        <v>681</v>
      </c>
      <c r="I228" s="1">
        <v>730</v>
      </c>
      <c r="J228" s="1">
        <v>120</v>
      </c>
      <c r="L228" s="45">
        <f t="shared" si="17"/>
        <v>45986</v>
      </c>
      <c r="M228" s="46">
        <f t="shared" si="20"/>
        <v>45986</v>
      </c>
      <c r="Q228" s="43">
        <f t="shared" si="18"/>
        <v>0</v>
      </c>
      <c r="R228" s="43">
        <f t="shared" ca="1" si="19"/>
        <v>0</v>
      </c>
      <c r="S228" s="22"/>
      <c r="T228" s="25">
        <v>45256</v>
      </c>
    </row>
    <row r="229" spans="1:173" x14ac:dyDescent="0.3">
      <c r="A229" s="13">
        <v>226</v>
      </c>
      <c r="B229" s="4" t="s">
        <v>701</v>
      </c>
      <c r="C229" s="39">
        <f t="shared" ca="1" si="16"/>
        <v>0</v>
      </c>
      <c r="D229" t="s">
        <v>99</v>
      </c>
      <c r="E229" t="s">
        <v>190</v>
      </c>
      <c r="F229" s="7" t="s">
        <v>79</v>
      </c>
      <c r="G229" s="6" t="s">
        <v>681</v>
      </c>
      <c r="H229" s="2" t="s">
        <v>681</v>
      </c>
      <c r="I229" s="1">
        <v>730</v>
      </c>
      <c r="J229" s="1">
        <v>120</v>
      </c>
      <c r="L229" s="45">
        <f t="shared" si="17"/>
        <v>45987</v>
      </c>
      <c r="M229" s="46">
        <f t="shared" si="20"/>
        <v>45987</v>
      </c>
      <c r="Q229" s="43">
        <f t="shared" si="18"/>
        <v>0</v>
      </c>
      <c r="R229" s="43">
        <f t="shared" ca="1" si="19"/>
        <v>0</v>
      </c>
      <c r="S229" s="22"/>
      <c r="T229" s="25">
        <v>45257</v>
      </c>
    </row>
    <row r="230" spans="1:173" x14ac:dyDescent="0.3">
      <c r="A230" s="13">
        <v>227</v>
      </c>
      <c r="B230" s="4" t="s">
        <v>701</v>
      </c>
      <c r="C230" s="39">
        <f t="shared" ca="1" si="16"/>
        <v>0</v>
      </c>
      <c r="D230" t="s">
        <v>99</v>
      </c>
      <c r="E230" t="s">
        <v>212</v>
      </c>
      <c r="F230" s="7" t="s">
        <v>79</v>
      </c>
      <c r="G230" s="6" t="s">
        <v>681</v>
      </c>
      <c r="H230" s="2" t="s">
        <v>681</v>
      </c>
      <c r="I230" s="1">
        <v>730</v>
      </c>
      <c r="J230" s="1">
        <v>30</v>
      </c>
      <c r="L230" s="45">
        <f t="shared" si="17"/>
        <v>45988</v>
      </c>
      <c r="M230" s="46">
        <f t="shared" si="20"/>
        <v>45988</v>
      </c>
      <c r="Q230" s="43">
        <f t="shared" si="18"/>
        <v>0</v>
      </c>
      <c r="R230" s="43">
        <f t="shared" ca="1" si="19"/>
        <v>0</v>
      </c>
      <c r="S230" s="22"/>
      <c r="T230" s="25">
        <v>45258</v>
      </c>
    </row>
    <row r="231" spans="1:173" x14ac:dyDescent="0.3">
      <c r="A231" s="13">
        <v>228</v>
      </c>
      <c r="B231" s="4" t="s">
        <v>701</v>
      </c>
      <c r="C231" s="39">
        <f t="shared" ca="1" si="16"/>
        <v>0</v>
      </c>
      <c r="D231" t="s">
        <v>99</v>
      </c>
      <c r="E231" t="s">
        <v>213</v>
      </c>
      <c r="F231" s="7" t="s">
        <v>79</v>
      </c>
      <c r="G231" s="6" t="s">
        <v>681</v>
      </c>
      <c r="H231" s="2" t="s">
        <v>681</v>
      </c>
      <c r="I231" s="1">
        <v>1000</v>
      </c>
      <c r="J231" s="1">
        <v>60</v>
      </c>
      <c r="L231" s="45">
        <f t="shared" si="17"/>
        <v>46259</v>
      </c>
      <c r="M231" s="46">
        <f t="shared" si="20"/>
        <v>46259</v>
      </c>
      <c r="Q231" s="43">
        <f t="shared" si="18"/>
        <v>0</v>
      </c>
      <c r="R231" s="43">
        <f t="shared" ca="1" si="19"/>
        <v>0</v>
      </c>
      <c r="S231" s="22"/>
      <c r="T231" s="25">
        <v>45259</v>
      </c>
    </row>
    <row r="232" spans="1:173" x14ac:dyDescent="0.3">
      <c r="A232" s="13">
        <v>229</v>
      </c>
      <c r="B232" s="4" t="s">
        <v>701</v>
      </c>
      <c r="C232" s="39">
        <f t="shared" ca="1" si="16"/>
        <v>0</v>
      </c>
      <c r="D232" t="s">
        <v>99</v>
      </c>
      <c r="E232" t="s">
        <v>214</v>
      </c>
      <c r="F232" s="7" t="s">
        <v>79</v>
      </c>
      <c r="G232" s="6" t="s">
        <v>681</v>
      </c>
      <c r="H232" s="2" t="s">
        <v>681</v>
      </c>
      <c r="I232" s="1">
        <v>365</v>
      </c>
      <c r="J232" s="1">
        <v>30</v>
      </c>
      <c r="L232" s="45">
        <f t="shared" si="17"/>
        <v>45625</v>
      </c>
      <c r="M232" s="46">
        <f t="shared" si="20"/>
        <v>45625</v>
      </c>
      <c r="Q232" s="43">
        <f t="shared" si="18"/>
        <v>0</v>
      </c>
      <c r="R232" s="43">
        <f t="shared" ca="1" si="19"/>
        <v>0</v>
      </c>
      <c r="S232" s="22"/>
      <c r="T232" s="25">
        <v>45260</v>
      </c>
    </row>
    <row r="233" spans="1:173" x14ac:dyDescent="0.3">
      <c r="A233" s="13">
        <v>230</v>
      </c>
      <c r="B233" s="4" t="s">
        <v>701</v>
      </c>
      <c r="C233" s="39">
        <f t="shared" ca="1" si="16"/>
        <v>1</v>
      </c>
      <c r="D233" t="s">
        <v>100</v>
      </c>
      <c r="E233" t="s">
        <v>205</v>
      </c>
      <c r="F233" s="7" t="s">
        <v>79</v>
      </c>
      <c r="G233" s="6" t="s">
        <v>681</v>
      </c>
      <c r="H233" s="2" t="s">
        <v>681</v>
      </c>
      <c r="I233" s="1">
        <v>730</v>
      </c>
      <c r="J233" s="1">
        <v>120</v>
      </c>
      <c r="L233" s="45">
        <f t="shared" si="17"/>
        <v>45084</v>
      </c>
      <c r="M233" s="46">
        <f t="shared" si="20"/>
        <v>45991</v>
      </c>
      <c r="N233" s="50">
        <v>45084</v>
      </c>
      <c r="Q233" s="43">
        <f t="shared" si="18"/>
        <v>0</v>
      </c>
      <c r="R233" s="43">
        <f t="shared" ca="1" si="19"/>
        <v>0</v>
      </c>
      <c r="S233" s="22"/>
      <c r="T233" s="25">
        <v>45261</v>
      </c>
    </row>
    <row r="234" spans="1:173" x14ac:dyDescent="0.3">
      <c r="A234" s="13">
        <v>231</v>
      </c>
      <c r="B234" s="4" t="s">
        <v>701</v>
      </c>
      <c r="C234" s="39">
        <f t="shared" ca="1" si="16"/>
        <v>0</v>
      </c>
      <c r="D234" t="s">
        <v>100</v>
      </c>
      <c r="E234" t="s">
        <v>190</v>
      </c>
      <c r="F234" s="7" t="s">
        <v>79</v>
      </c>
      <c r="G234" s="6" t="s">
        <v>681</v>
      </c>
      <c r="H234" s="2" t="s">
        <v>681</v>
      </c>
      <c r="I234" s="1">
        <v>730</v>
      </c>
      <c r="J234" s="1">
        <v>120</v>
      </c>
      <c r="L234" s="45">
        <f t="shared" si="17"/>
        <v>45992</v>
      </c>
      <c r="M234" s="46">
        <f t="shared" si="20"/>
        <v>45992</v>
      </c>
      <c r="Q234" s="43">
        <f t="shared" si="18"/>
        <v>0</v>
      </c>
      <c r="R234" s="43">
        <f t="shared" ca="1" si="19"/>
        <v>0</v>
      </c>
      <c r="S234" s="22"/>
      <c r="T234" s="25">
        <v>45262</v>
      </c>
    </row>
    <row r="235" spans="1:173" x14ac:dyDescent="0.3">
      <c r="A235" s="13">
        <v>232</v>
      </c>
      <c r="B235" s="4" t="s">
        <v>701</v>
      </c>
      <c r="C235" s="39">
        <f t="shared" ca="1" si="16"/>
        <v>0</v>
      </c>
      <c r="D235" t="s">
        <v>100</v>
      </c>
      <c r="E235" t="s">
        <v>215</v>
      </c>
      <c r="F235" s="7" t="s">
        <v>79</v>
      </c>
      <c r="G235" s="6" t="s">
        <v>681</v>
      </c>
      <c r="H235" s="2" t="s">
        <v>681</v>
      </c>
      <c r="I235" s="1">
        <v>730</v>
      </c>
      <c r="J235" s="1">
        <v>30</v>
      </c>
      <c r="L235" s="45">
        <f t="shared" si="17"/>
        <v>45993</v>
      </c>
      <c r="M235" s="46">
        <f t="shared" si="20"/>
        <v>45993</v>
      </c>
      <c r="Q235" s="43">
        <f t="shared" si="18"/>
        <v>0</v>
      </c>
      <c r="R235" s="43">
        <f t="shared" ca="1" si="19"/>
        <v>0</v>
      </c>
      <c r="S235" s="22"/>
      <c r="T235" s="25">
        <v>45263</v>
      </c>
    </row>
    <row r="236" spans="1:173" x14ac:dyDescent="0.3">
      <c r="A236" s="13">
        <v>233</v>
      </c>
      <c r="B236" s="4" t="s">
        <v>701</v>
      </c>
      <c r="C236" s="39">
        <f t="shared" ca="1" si="16"/>
        <v>0</v>
      </c>
      <c r="D236" t="s">
        <v>100</v>
      </c>
      <c r="E236" t="s">
        <v>216</v>
      </c>
      <c r="F236" s="7" t="s">
        <v>79</v>
      </c>
      <c r="G236" s="6" t="s">
        <v>681</v>
      </c>
      <c r="H236" s="2" t="s">
        <v>681</v>
      </c>
      <c r="I236" s="1">
        <v>1000</v>
      </c>
      <c r="J236" s="1">
        <v>60</v>
      </c>
      <c r="L236" s="45">
        <f t="shared" si="17"/>
        <v>46264</v>
      </c>
      <c r="M236" s="46">
        <f t="shared" si="20"/>
        <v>46264</v>
      </c>
      <c r="Q236" s="43">
        <f t="shared" si="18"/>
        <v>0</v>
      </c>
      <c r="R236" s="43">
        <f t="shared" ca="1" si="19"/>
        <v>0</v>
      </c>
      <c r="S236" s="22"/>
      <c r="T236" s="25">
        <v>45264</v>
      </c>
    </row>
    <row r="237" spans="1:173" x14ac:dyDescent="0.3">
      <c r="A237" s="13">
        <v>234</v>
      </c>
      <c r="B237" s="4" t="s">
        <v>701</v>
      </c>
      <c r="C237" s="39">
        <f t="shared" ca="1" si="16"/>
        <v>0</v>
      </c>
      <c r="D237" t="s">
        <v>100</v>
      </c>
      <c r="E237" t="s">
        <v>188</v>
      </c>
      <c r="F237" s="7" t="s">
        <v>79</v>
      </c>
      <c r="G237" s="6" t="s">
        <v>681</v>
      </c>
      <c r="H237" s="2" t="s">
        <v>681</v>
      </c>
      <c r="I237" s="1">
        <v>365</v>
      </c>
      <c r="J237" s="1">
        <v>30</v>
      </c>
      <c r="L237" s="45">
        <f t="shared" si="17"/>
        <v>45630</v>
      </c>
      <c r="M237" s="46">
        <f t="shared" si="20"/>
        <v>45630</v>
      </c>
      <c r="Q237" s="43">
        <f t="shared" si="18"/>
        <v>0</v>
      </c>
      <c r="R237" s="43">
        <f t="shared" ca="1" si="19"/>
        <v>0</v>
      </c>
      <c r="S237" s="22"/>
      <c r="T237" s="25">
        <v>45265</v>
      </c>
    </row>
    <row r="238" spans="1:173" x14ac:dyDescent="0.3">
      <c r="A238" s="13">
        <v>235</v>
      </c>
      <c r="B238" s="4" t="s">
        <v>701</v>
      </c>
      <c r="C238" s="39">
        <f t="shared" ca="1" si="16"/>
        <v>0</v>
      </c>
      <c r="D238" t="s">
        <v>101</v>
      </c>
      <c r="E238" t="s">
        <v>205</v>
      </c>
      <c r="F238" s="7" t="s">
        <v>79</v>
      </c>
      <c r="G238" s="6" t="s">
        <v>681</v>
      </c>
      <c r="H238" s="2" t="s">
        <v>681</v>
      </c>
      <c r="I238" s="1">
        <v>730</v>
      </c>
      <c r="J238" s="1">
        <v>120</v>
      </c>
      <c r="K238" s="20">
        <v>44</v>
      </c>
      <c r="L238" s="45">
        <f t="shared" si="17"/>
        <v>45831</v>
      </c>
      <c r="M238" s="46">
        <f t="shared" si="20"/>
        <v>45831</v>
      </c>
      <c r="O238" s="37" t="s">
        <v>795</v>
      </c>
      <c r="P238" s="20" t="s">
        <v>72</v>
      </c>
      <c r="Q238" s="43">
        <f t="shared" si="18"/>
        <v>1</v>
      </c>
      <c r="R238" s="43">
        <f t="shared" ca="1" si="19"/>
        <v>0</v>
      </c>
      <c r="S238" s="22"/>
      <c r="T238" s="25">
        <v>45101</v>
      </c>
      <c r="U238" s="25">
        <v>45090</v>
      </c>
      <c r="V238" s="31"/>
      <c r="FQ238" s="17"/>
    </row>
    <row r="239" spans="1:173" x14ac:dyDescent="0.3">
      <c r="A239" s="13">
        <v>236</v>
      </c>
      <c r="B239" s="4" t="s">
        <v>701</v>
      </c>
      <c r="C239" s="39">
        <f t="shared" ca="1" si="16"/>
        <v>0</v>
      </c>
      <c r="D239" t="s">
        <v>101</v>
      </c>
      <c r="E239" t="s">
        <v>217</v>
      </c>
      <c r="F239" s="7" t="s">
        <v>79</v>
      </c>
      <c r="G239" s="6" t="s">
        <v>681</v>
      </c>
      <c r="H239" s="2" t="s">
        <v>681</v>
      </c>
      <c r="I239" s="1">
        <v>730</v>
      </c>
      <c r="J239" s="1">
        <v>120</v>
      </c>
      <c r="L239" s="45">
        <f t="shared" si="17"/>
        <v>45997</v>
      </c>
      <c r="M239" s="46">
        <f t="shared" si="20"/>
        <v>45997</v>
      </c>
      <c r="Q239" s="43">
        <f t="shared" si="18"/>
        <v>0</v>
      </c>
      <c r="R239" s="43">
        <f t="shared" ca="1" si="19"/>
        <v>0</v>
      </c>
      <c r="S239" s="22"/>
      <c r="T239" s="25">
        <v>45267</v>
      </c>
    </row>
    <row r="240" spans="1:173" x14ac:dyDescent="0.3">
      <c r="A240" s="13">
        <v>237</v>
      </c>
      <c r="B240" s="4" t="s">
        <v>701</v>
      </c>
      <c r="C240" s="39">
        <f t="shared" ca="1" si="16"/>
        <v>0</v>
      </c>
      <c r="D240" t="s">
        <v>101</v>
      </c>
      <c r="E240" t="s">
        <v>210</v>
      </c>
      <c r="F240" s="7" t="s">
        <v>79</v>
      </c>
      <c r="G240" s="6" t="s">
        <v>681</v>
      </c>
      <c r="H240" s="2" t="s">
        <v>681</v>
      </c>
      <c r="I240" s="1">
        <v>730</v>
      </c>
      <c r="J240" s="1">
        <v>30</v>
      </c>
      <c r="L240" s="45">
        <f t="shared" si="17"/>
        <v>45998</v>
      </c>
      <c r="M240" s="46">
        <f t="shared" si="20"/>
        <v>45998</v>
      </c>
      <c r="Q240" s="43">
        <f t="shared" si="18"/>
        <v>0</v>
      </c>
      <c r="R240" s="43">
        <f t="shared" ca="1" si="19"/>
        <v>0</v>
      </c>
      <c r="S240" s="22"/>
      <c r="T240" s="25">
        <v>45268</v>
      </c>
    </row>
    <row r="241" spans="1:20" x14ac:dyDescent="0.3">
      <c r="A241" s="13">
        <v>238</v>
      </c>
      <c r="B241" s="4" t="s">
        <v>701</v>
      </c>
      <c r="C241" s="39">
        <f t="shared" ca="1" si="16"/>
        <v>0</v>
      </c>
      <c r="D241" t="s">
        <v>101</v>
      </c>
      <c r="E241" t="s">
        <v>213</v>
      </c>
      <c r="F241" s="7" t="s">
        <v>79</v>
      </c>
      <c r="G241" s="6" t="s">
        <v>681</v>
      </c>
      <c r="H241" s="2" t="s">
        <v>681</v>
      </c>
      <c r="I241" s="1">
        <v>1000</v>
      </c>
      <c r="J241" s="1">
        <v>60</v>
      </c>
      <c r="L241" s="45">
        <f t="shared" si="17"/>
        <v>46269</v>
      </c>
      <c r="M241" s="46">
        <f t="shared" si="20"/>
        <v>46269</v>
      </c>
      <c r="Q241" s="43">
        <f t="shared" si="18"/>
        <v>0</v>
      </c>
      <c r="R241" s="43">
        <f t="shared" ca="1" si="19"/>
        <v>0</v>
      </c>
      <c r="S241" s="22"/>
      <c r="T241" s="25">
        <v>45269</v>
      </c>
    </row>
    <row r="242" spans="1:20" x14ac:dyDescent="0.3">
      <c r="A242" s="13">
        <v>239</v>
      </c>
      <c r="B242" s="4" t="s">
        <v>701</v>
      </c>
      <c r="C242" s="39">
        <f t="shared" ca="1" si="16"/>
        <v>0</v>
      </c>
      <c r="D242" t="s">
        <v>101</v>
      </c>
      <c r="E242" t="s">
        <v>142</v>
      </c>
      <c r="F242" s="7" t="s">
        <v>79</v>
      </c>
      <c r="G242" s="6" t="s">
        <v>681</v>
      </c>
      <c r="H242" s="2" t="s">
        <v>681</v>
      </c>
      <c r="I242" s="1">
        <v>365</v>
      </c>
      <c r="J242" s="1">
        <v>30</v>
      </c>
      <c r="L242" s="45">
        <f t="shared" si="17"/>
        <v>45635</v>
      </c>
      <c r="M242" s="46">
        <f t="shared" si="20"/>
        <v>45635</v>
      </c>
      <c r="Q242" s="43">
        <f t="shared" si="18"/>
        <v>0</v>
      </c>
      <c r="R242" s="43">
        <f t="shared" ca="1" si="19"/>
        <v>0</v>
      </c>
      <c r="S242" s="22"/>
      <c r="T242" s="25">
        <v>45270</v>
      </c>
    </row>
    <row r="243" spans="1:20" x14ac:dyDescent="0.3">
      <c r="A243" s="13">
        <v>240</v>
      </c>
      <c r="B243" s="1" t="s">
        <v>704</v>
      </c>
      <c r="C243" s="39">
        <f t="shared" ca="1" si="16"/>
        <v>1</v>
      </c>
      <c r="D243" t="s">
        <v>102</v>
      </c>
      <c r="E243" t="s">
        <v>205</v>
      </c>
      <c r="F243" s="7" t="s">
        <v>79</v>
      </c>
      <c r="G243" s="6" t="s">
        <v>681</v>
      </c>
      <c r="H243" s="2" t="s">
        <v>681</v>
      </c>
      <c r="I243" s="1">
        <v>730</v>
      </c>
      <c r="J243" s="1">
        <v>120</v>
      </c>
      <c r="L243" s="45">
        <f t="shared" si="17"/>
        <v>45084</v>
      </c>
      <c r="M243" s="46">
        <f t="shared" si="20"/>
        <v>46001</v>
      </c>
      <c r="N243" s="50">
        <v>45084</v>
      </c>
      <c r="Q243" s="43">
        <f t="shared" si="18"/>
        <v>0</v>
      </c>
      <c r="R243" s="43">
        <f t="shared" ca="1" si="19"/>
        <v>0</v>
      </c>
      <c r="S243" s="22"/>
      <c r="T243" s="25">
        <v>45271</v>
      </c>
    </row>
    <row r="244" spans="1:20" x14ac:dyDescent="0.3">
      <c r="A244" s="13">
        <v>241</v>
      </c>
      <c r="B244" s="1" t="s">
        <v>704</v>
      </c>
      <c r="C244" s="39">
        <f t="shared" ca="1" si="16"/>
        <v>0</v>
      </c>
      <c r="D244" t="s">
        <v>102</v>
      </c>
      <c r="E244" t="s">
        <v>217</v>
      </c>
      <c r="F244" s="7" t="s">
        <v>79</v>
      </c>
      <c r="G244" s="6" t="s">
        <v>681</v>
      </c>
      <c r="H244" s="2" t="s">
        <v>681</v>
      </c>
      <c r="I244" s="1">
        <v>730</v>
      </c>
      <c r="J244" s="1">
        <v>120</v>
      </c>
      <c r="L244" s="45">
        <f t="shared" si="17"/>
        <v>46002</v>
      </c>
      <c r="M244" s="46">
        <f t="shared" si="20"/>
        <v>46002</v>
      </c>
      <c r="Q244" s="43">
        <f t="shared" si="18"/>
        <v>0</v>
      </c>
      <c r="R244" s="43">
        <f t="shared" ca="1" si="19"/>
        <v>0</v>
      </c>
      <c r="S244" s="22"/>
      <c r="T244" s="25">
        <v>45272</v>
      </c>
    </row>
    <row r="245" spans="1:20" x14ac:dyDescent="0.3">
      <c r="A245" s="13">
        <v>242</v>
      </c>
      <c r="B245" s="1" t="s">
        <v>704</v>
      </c>
      <c r="C245" s="39">
        <f t="shared" ca="1" si="16"/>
        <v>0</v>
      </c>
      <c r="D245" t="s">
        <v>102</v>
      </c>
      <c r="E245" t="s">
        <v>210</v>
      </c>
      <c r="F245" s="7" t="s">
        <v>79</v>
      </c>
      <c r="G245" s="6" t="s">
        <v>681</v>
      </c>
      <c r="H245" s="2" t="s">
        <v>681</v>
      </c>
      <c r="I245" s="1">
        <v>730</v>
      </c>
      <c r="J245" s="1">
        <v>30</v>
      </c>
      <c r="L245" s="45">
        <f t="shared" si="17"/>
        <v>46003</v>
      </c>
      <c r="M245" s="46">
        <f t="shared" si="20"/>
        <v>46003</v>
      </c>
      <c r="Q245" s="43">
        <f t="shared" si="18"/>
        <v>0</v>
      </c>
      <c r="R245" s="43">
        <f t="shared" ca="1" si="19"/>
        <v>0</v>
      </c>
      <c r="S245" s="22"/>
      <c r="T245" s="25">
        <v>45273</v>
      </c>
    </row>
    <row r="246" spans="1:20" x14ac:dyDescent="0.3">
      <c r="A246" s="13">
        <v>243</v>
      </c>
      <c r="B246" s="1" t="s">
        <v>704</v>
      </c>
      <c r="C246" s="39">
        <f t="shared" ca="1" si="16"/>
        <v>0</v>
      </c>
      <c r="D246" t="s">
        <v>102</v>
      </c>
      <c r="E246" t="s">
        <v>213</v>
      </c>
      <c r="F246" s="7" t="s">
        <v>79</v>
      </c>
      <c r="G246" s="6" t="s">
        <v>681</v>
      </c>
      <c r="H246" s="2" t="s">
        <v>681</v>
      </c>
      <c r="I246" s="1">
        <v>1000</v>
      </c>
      <c r="J246" s="1">
        <v>30</v>
      </c>
      <c r="L246" s="45">
        <f t="shared" si="17"/>
        <v>46274</v>
      </c>
      <c r="M246" s="46">
        <f t="shared" si="20"/>
        <v>46274</v>
      </c>
      <c r="Q246" s="43">
        <f t="shared" si="18"/>
        <v>0</v>
      </c>
      <c r="R246" s="43">
        <f t="shared" ca="1" si="19"/>
        <v>0</v>
      </c>
      <c r="S246" s="22"/>
      <c r="T246" s="25">
        <v>45274</v>
      </c>
    </row>
    <row r="247" spans="1:20" x14ac:dyDescent="0.3">
      <c r="A247" s="13">
        <v>244</v>
      </c>
      <c r="B247" s="1" t="s">
        <v>704</v>
      </c>
      <c r="C247" s="39">
        <f t="shared" ca="1" si="16"/>
        <v>0</v>
      </c>
      <c r="D247" t="s">
        <v>102</v>
      </c>
      <c r="E247" t="s">
        <v>142</v>
      </c>
      <c r="F247" s="7" t="s">
        <v>79</v>
      </c>
      <c r="G247" s="6" t="s">
        <v>681</v>
      </c>
      <c r="H247" s="2" t="s">
        <v>681</v>
      </c>
      <c r="I247" s="1">
        <v>365</v>
      </c>
      <c r="J247" s="1">
        <v>30</v>
      </c>
      <c r="L247" s="45">
        <f t="shared" si="17"/>
        <v>45640</v>
      </c>
      <c r="M247" s="46">
        <f t="shared" si="20"/>
        <v>45640</v>
      </c>
      <c r="Q247" s="43">
        <f t="shared" si="18"/>
        <v>0</v>
      </c>
      <c r="R247" s="43">
        <f t="shared" ca="1" si="19"/>
        <v>0</v>
      </c>
      <c r="S247" s="22"/>
      <c r="T247" s="25">
        <v>45275</v>
      </c>
    </row>
    <row r="248" spans="1:20" x14ac:dyDescent="0.3">
      <c r="A248" s="13">
        <v>245</v>
      </c>
      <c r="B248" s="1" t="s">
        <v>706</v>
      </c>
      <c r="C248" s="39">
        <f t="shared" ca="1" si="16"/>
        <v>0</v>
      </c>
      <c r="D248" t="s">
        <v>220</v>
      </c>
      <c r="E248" t="s">
        <v>205</v>
      </c>
      <c r="F248" s="7" t="s">
        <v>79</v>
      </c>
      <c r="G248" s="6" t="s">
        <v>681</v>
      </c>
      <c r="H248" s="2" t="s">
        <v>681</v>
      </c>
      <c r="I248" s="1">
        <v>730</v>
      </c>
      <c r="J248" s="1">
        <v>120</v>
      </c>
      <c r="L248" s="45">
        <f t="shared" si="17"/>
        <v>46006</v>
      </c>
      <c r="M248" s="46">
        <f t="shared" si="20"/>
        <v>46006</v>
      </c>
      <c r="Q248" s="43">
        <f t="shared" si="18"/>
        <v>0</v>
      </c>
      <c r="R248" s="43">
        <f t="shared" ca="1" si="19"/>
        <v>0</v>
      </c>
      <c r="S248" s="22"/>
      <c r="T248" s="25">
        <v>45276</v>
      </c>
    </row>
    <row r="249" spans="1:20" x14ac:dyDescent="0.3">
      <c r="A249" s="13">
        <v>246</v>
      </c>
      <c r="B249" s="1" t="s">
        <v>706</v>
      </c>
      <c r="C249" s="39">
        <f t="shared" ca="1" si="16"/>
        <v>0</v>
      </c>
      <c r="D249" t="s">
        <v>220</v>
      </c>
      <c r="E249" t="s">
        <v>217</v>
      </c>
      <c r="F249" s="7" t="s">
        <v>79</v>
      </c>
      <c r="G249" s="6" t="s">
        <v>681</v>
      </c>
      <c r="H249" s="2" t="s">
        <v>681</v>
      </c>
      <c r="I249" s="1">
        <v>730</v>
      </c>
      <c r="J249" s="1">
        <v>120</v>
      </c>
      <c r="L249" s="45">
        <f t="shared" si="17"/>
        <v>46007</v>
      </c>
      <c r="M249" s="46">
        <f t="shared" si="20"/>
        <v>46007</v>
      </c>
      <c r="Q249" s="43">
        <f t="shared" si="18"/>
        <v>0</v>
      </c>
      <c r="R249" s="43">
        <f t="shared" ca="1" si="19"/>
        <v>0</v>
      </c>
      <c r="S249" s="22"/>
      <c r="T249" s="25">
        <v>45277</v>
      </c>
    </row>
    <row r="250" spans="1:20" x14ac:dyDescent="0.3">
      <c r="A250" s="13">
        <v>247</v>
      </c>
      <c r="B250" s="1" t="s">
        <v>706</v>
      </c>
      <c r="C250" s="39">
        <f t="shared" ca="1" si="16"/>
        <v>1</v>
      </c>
      <c r="D250" t="s">
        <v>220</v>
      </c>
      <c r="E250" t="s">
        <v>210</v>
      </c>
      <c r="F250" s="7" t="s">
        <v>79</v>
      </c>
      <c r="G250" s="6" t="s">
        <v>681</v>
      </c>
      <c r="H250" s="2" t="s">
        <v>681</v>
      </c>
      <c r="I250" s="1">
        <v>730</v>
      </c>
      <c r="J250" s="1">
        <v>30</v>
      </c>
      <c r="L250" s="45">
        <f t="shared" si="17"/>
        <v>45084</v>
      </c>
      <c r="M250" s="46">
        <f t="shared" si="20"/>
        <v>46008</v>
      </c>
      <c r="N250" s="50">
        <v>45084</v>
      </c>
      <c r="Q250" s="43">
        <f t="shared" si="18"/>
        <v>0</v>
      </c>
      <c r="R250" s="43">
        <f t="shared" ca="1" si="19"/>
        <v>0</v>
      </c>
      <c r="S250" s="22"/>
      <c r="T250" s="25">
        <v>45278</v>
      </c>
    </row>
    <row r="251" spans="1:20" x14ac:dyDescent="0.3">
      <c r="A251" s="13">
        <v>248</v>
      </c>
      <c r="B251" s="1" t="s">
        <v>706</v>
      </c>
      <c r="C251" s="39">
        <f t="shared" ca="1" si="16"/>
        <v>0</v>
      </c>
      <c r="D251" t="s">
        <v>220</v>
      </c>
      <c r="E251" t="s">
        <v>213</v>
      </c>
      <c r="F251" s="7" t="s">
        <v>79</v>
      </c>
      <c r="G251" s="6" t="s">
        <v>681</v>
      </c>
      <c r="H251" s="2" t="s">
        <v>681</v>
      </c>
      <c r="I251" s="1">
        <v>1000</v>
      </c>
      <c r="J251" s="1">
        <v>60</v>
      </c>
      <c r="L251" s="45">
        <f t="shared" si="17"/>
        <v>46279</v>
      </c>
      <c r="M251" s="46">
        <f t="shared" si="20"/>
        <v>46279</v>
      </c>
      <c r="Q251" s="43">
        <f t="shared" si="18"/>
        <v>0</v>
      </c>
      <c r="R251" s="43">
        <f t="shared" ca="1" si="19"/>
        <v>0</v>
      </c>
      <c r="S251" s="22"/>
      <c r="T251" s="25">
        <v>45279</v>
      </c>
    </row>
    <row r="252" spans="1:20" x14ac:dyDescent="0.3">
      <c r="A252" s="13">
        <v>249</v>
      </c>
      <c r="B252" s="1" t="s">
        <v>706</v>
      </c>
      <c r="C252" s="39">
        <f t="shared" ca="1" si="16"/>
        <v>0</v>
      </c>
      <c r="D252" t="s">
        <v>220</v>
      </c>
      <c r="E252" t="s">
        <v>142</v>
      </c>
      <c r="F252" s="7" t="s">
        <v>79</v>
      </c>
      <c r="G252" s="6" t="s">
        <v>681</v>
      </c>
      <c r="H252" s="2" t="s">
        <v>681</v>
      </c>
      <c r="I252" s="1">
        <v>365</v>
      </c>
      <c r="J252" s="1">
        <v>30</v>
      </c>
      <c r="L252" s="45">
        <f t="shared" si="17"/>
        <v>45645</v>
      </c>
      <c r="M252" s="46">
        <f t="shared" si="20"/>
        <v>45645</v>
      </c>
      <c r="Q252" s="43">
        <f t="shared" si="18"/>
        <v>0</v>
      </c>
      <c r="R252" s="43">
        <f t="shared" ca="1" si="19"/>
        <v>0</v>
      </c>
      <c r="S252" s="22"/>
      <c r="T252" s="25">
        <v>45280</v>
      </c>
    </row>
    <row r="253" spans="1:20" x14ac:dyDescent="0.3">
      <c r="A253" s="13">
        <v>250</v>
      </c>
      <c r="B253" s="1" t="s">
        <v>707</v>
      </c>
      <c r="C253" s="39">
        <f t="shared" ca="1" si="16"/>
        <v>0</v>
      </c>
      <c r="D253" t="s">
        <v>103</v>
      </c>
      <c r="E253" t="s">
        <v>205</v>
      </c>
      <c r="F253" s="7" t="s">
        <v>79</v>
      </c>
      <c r="G253" s="6" t="s">
        <v>681</v>
      </c>
      <c r="H253" s="2" t="s">
        <v>681</v>
      </c>
      <c r="I253" s="1">
        <v>730</v>
      </c>
      <c r="J253" s="1">
        <v>120</v>
      </c>
      <c r="L253" s="45">
        <f t="shared" si="17"/>
        <v>46011</v>
      </c>
      <c r="M253" s="46">
        <f t="shared" si="20"/>
        <v>46011</v>
      </c>
      <c r="Q253" s="43">
        <f t="shared" si="18"/>
        <v>0</v>
      </c>
      <c r="R253" s="43">
        <f t="shared" ca="1" si="19"/>
        <v>0</v>
      </c>
      <c r="S253" s="22"/>
      <c r="T253" s="25">
        <v>45281</v>
      </c>
    </row>
    <row r="254" spans="1:20" x14ac:dyDescent="0.3">
      <c r="A254" s="13">
        <v>251</v>
      </c>
      <c r="B254" s="1" t="s">
        <v>707</v>
      </c>
      <c r="C254" s="39">
        <f t="shared" ca="1" si="16"/>
        <v>0</v>
      </c>
      <c r="D254" t="s">
        <v>103</v>
      </c>
      <c r="E254" t="s">
        <v>190</v>
      </c>
      <c r="F254" s="7" t="s">
        <v>79</v>
      </c>
      <c r="G254" s="6" t="s">
        <v>681</v>
      </c>
      <c r="H254" s="2" t="s">
        <v>681</v>
      </c>
      <c r="I254" s="1">
        <v>730</v>
      </c>
      <c r="J254" s="1">
        <v>120</v>
      </c>
      <c r="L254" s="45">
        <f t="shared" si="17"/>
        <v>46012</v>
      </c>
      <c r="M254" s="46">
        <f t="shared" si="20"/>
        <v>46012</v>
      </c>
      <c r="Q254" s="43">
        <f t="shared" si="18"/>
        <v>0</v>
      </c>
      <c r="R254" s="43">
        <f t="shared" ca="1" si="19"/>
        <v>0</v>
      </c>
      <c r="S254" s="22"/>
      <c r="T254" s="25">
        <v>45282</v>
      </c>
    </row>
    <row r="255" spans="1:20" x14ac:dyDescent="0.3">
      <c r="A255" s="13">
        <v>252</v>
      </c>
      <c r="B255" s="1" t="s">
        <v>707</v>
      </c>
      <c r="C255" s="39">
        <f t="shared" ca="1" si="16"/>
        <v>0</v>
      </c>
      <c r="D255" t="s">
        <v>103</v>
      </c>
      <c r="E255" t="s">
        <v>218</v>
      </c>
      <c r="F255" s="7" t="s">
        <v>79</v>
      </c>
      <c r="G255" s="6" t="s">
        <v>681</v>
      </c>
      <c r="H255" s="2" t="s">
        <v>681</v>
      </c>
      <c r="I255" s="1">
        <v>1000</v>
      </c>
      <c r="J255" s="1">
        <v>30</v>
      </c>
      <c r="L255" s="45">
        <f t="shared" si="17"/>
        <v>46283</v>
      </c>
      <c r="M255" s="46">
        <f t="shared" si="20"/>
        <v>46283</v>
      </c>
      <c r="Q255" s="43">
        <f t="shared" si="18"/>
        <v>0</v>
      </c>
      <c r="R255" s="43">
        <f t="shared" ca="1" si="19"/>
        <v>0</v>
      </c>
      <c r="S255" s="22"/>
      <c r="T255" s="25">
        <v>45283</v>
      </c>
    </row>
    <row r="256" spans="1:20" x14ac:dyDescent="0.3">
      <c r="A256" s="13">
        <v>253</v>
      </c>
      <c r="B256" s="1" t="s">
        <v>707</v>
      </c>
      <c r="C256" s="39">
        <f t="shared" ca="1" si="16"/>
        <v>1</v>
      </c>
      <c r="D256" t="s">
        <v>103</v>
      </c>
      <c r="E256" t="s">
        <v>219</v>
      </c>
      <c r="F256" s="7" t="s">
        <v>79</v>
      </c>
      <c r="G256" s="6" t="s">
        <v>681</v>
      </c>
      <c r="H256" s="2" t="s">
        <v>681</v>
      </c>
      <c r="I256" s="1">
        <v>1000</v>
      </c>
      <c r="J256" s="1">
        <v>60</v>
      </c>
      <c r="L256" s="45">
        <f t="shared" si="17"/>
        <v>45084</v>
      </c>
      <c r="M256" s="46">
        <f t="shared" si="20"/>
        <v>46284</v>
      </c>
      <c r="N256" s="50">
        <v>45084</v>
      </c>
      <c r="Q256" s="43">
        <f t="shared" si="18"/>
        <v>0</v>
      </c>
      <c r="R256" s="43">
        <f t="shared" ca="1" si="19"/>
        <v>0</v>
      </c>
      <c r="S256" s="22"/>
      <c r="T256" s="25">
        <v>45284</v>
      </c>
    </row>
    <row r="257" spans="1:20" x14ac:dyDescent="0.3">
      <c r="A257" s="13">
        <v>254</v>
      </c>
      <c r="B257" s="1" t="s">
        <v>707</v>
      </c>
      <c r="C257" s="39">
        <f t="shared" ca="1" si="16"/>
        <v>0</v>
      </c>
      <c r="D257" t="s">
        <v>103</v>
      </c>
      <c r="E257" t="s">
        <v>213</v>
      </c>
      <c r="F257" s="7" t="s">
        <v>79</v>
      </c>
      <c r="G257" s="6" t="s">
        <v>681</v>
      </c>
      <c r="H257" s="2" t="s">
        <v>681</v>
      </c>
      <c r="I257" s="1">
        <v>1000</v>
      </c>
      <c r="J257" s="1">
        <v>30</v>
      </c>
      <c r="L257" s="45">
        <f t="shared" si="17"/>
        <v>46285</v>
      </c>
      <c r="M257" s="46">
        <f t="shared" si="20"/>
        <v>46285</v>
      </c>
      <c r="Q257" s="43">
        <f t="shared" si="18"/>
        <v>0</v>
      </c>
      <c r="R257" s="43">
        <f t="shared" ca="1" si="19"/>
        <v>0</v>
      </c>
      <c r="S257" s="22"/>
      <c r="T257" s="25">
        <v>45285</v>
      </c>
    </row>
    <row r="258" spans="1:20" x14ac:dyDescent="0.3">
      <c r="A258" s="13">
        <v>255</v>
      </c>
      <c r="B258" s="1" t="s">
        <v>707</v>
      </c>
      <c r="C258" s="39">
        <f t="shared" ca="1" si="16"/>
        <v>0</v>
      </c>
      <c r="D258" t="s">
        <v>103</v>
      </c>
      <c r="E258" t="s">
        <v>188</v>
      </c>
      <c r="F258" s="7" t="s">
        <v>79</v>
      </c>
      <c r="G258" s="6" t="s">
        <v>681</v>
      </c>
      <c r="H258" s="2" t="s">
        <v>681</v>
      </c>
      <c r="I258" s="1">
        <v>365</v>
      </c>
      <c r="J258" s="1">
        <v>30</v>
      </c>
      <c r="L258" s="45">
        <f t="shared" si="17"/>
        <v>45651</v>
      </c>
      <c r="M258" s="46">
        <f t="shared" si="20"/>
        <v>45651</v>
      </c>
      <c r="Q258" s="43">
        <f t="shared" si="18"/>
        <v>0</v>
      </c>
      <c r="R258" s="43">
        <f t="shared" ca="1" si="19"/>
        <v>0</v>
      </c>
      <c r="S258" s="22"/>
      <c r="T258" s="25">
        <v>45286</v>
      </c>
    </row>
    <row r="259" spans="1:20" x14ac:dyDescent="0.3">
      <c r="A259" s="13">
        <v>256</v>
      </c>
      <c r="B259" s="1" t="s">
        <v>707</v>
      </c>
      <c r="C259" s="39">
        <f t="shared" ca="1" si="16"/>
        <v>0</v>
      </c>
      <c r="D259" t="s">
        <v>222</v>
      </c>
      <c r="E259" t="s">
        <v>24</v>
      </c>
      <c r="F259" s="7" t="s">
        <v>79</v>
      </c>
      <c r="G259" s="6" t="s">
        <v>681</v>
      </c>
      <c r="H259" s="2" t="s">
        <v>681</v>
      </c>
      <c r="I259" s="1">
        <v>730</v>
      </c>
      <c r="J259" s="1">
        <v>240</v>
      </c>
      <c r="L259" s="45">
        <f t="shared" si="17"/>
        <v>46017</v>
      </c>
      <c r="M259" s="46">
        <f t="shared" si="20"/>
        <v>46017</v>
      </c>
      <c r="Q259" s="43">
        <f t="shared" si="18"/>
        <v>0</v>
      </c>
      <c r="R259" s="43">
        <f t="shared" ca="1" si="19"/>
        <v>0</v>
      </c>
      <c r="S259" s="22"/>
      <c r="T259" s="25">
        <v>45287</v>
      </c>
    </row>
    <row r="260" spans="1:20" x14ac:dyDescent="0.3">
      <c r="A260" s="13">
        <v>257</v>
      </c>
      <c r="B260" s="1" t="s">
        <v>707</v>
      </c>
      <c r="C260" s="39">
        <f t="shared" ca="1" si="16"/>
        <v>0</v>
      </c>
      <c r="D260" t="s">
        <v>222</v>
      </c>
      <c r="E260" t="s">
        <v>213</v>
      </c>
      <c r="F260" s="7" t="s">
        <v>79</v>
      </c>
      <c r="G260" s="6" t="s">
        <v>681</v>
      </c>
      <c r="H260" s="2" t="s">
        <v>681</v>
      </c>
      <c r="I260" s="1">
        <v>1000</v>
      </c>
      <c r="J260" s="1">
        <v>60</v>
      </c>
      <c r="L260" s="45">
        <f t="shared" si="17"/>
        <v>46288</v>
      </c>
      <c r="M260" s="46">
        <f t="shared" si="20"/>
        <v>46288</v>
      </c>
      <c r="Q260" s="43">
        <f t="shared" si="18"/>
        <v>0</v>
      </c>
      <c r="R260" s="43">
        <f t="shared" ca="1" si="19"/>
        <v>0</v>
      </c>
      <c r="S260" s="22"/>
      <c r="T260" s="25">
        <v>45288</v>
      </c>
    </row>
    <row r="261" spans="1:20" x14ac:dyDescent="0.3">
      <c r="A261" s="13">
        <v>258</v>
      </c>
      <c r="B261" s="1" t="s">
        <v>707</v>
      </c>
      <c r="C261" s="39">
        <f t="shared" ref="C261:C324" ca="1" si="21">IF(L261&lt;=$A$2,1,0)</f>
        <v>0</v>
      </c>
      <c r="D261" t="s">
        <v>222</v>
      </c>
      <c r="E261" t="s">
        <v>142</v>
      </c>
      <c r="F261" s="7" t="s">
        <v>79</v>
      </c>
      <c r="G261" s="6" t="s">
        <v>681</v>
      </c>
      <c r="H261" s="2" t="s">
        <v>681</v>
      </c>
      <c r="I261" s="1">
        <v>365</v>
      </c>
      <c r="J261" s="1">
        <v>30</v>
      </c>
      <c r="L261" s="45">
        <f t="shared" ref="L261:L324" si="22">IF(N261="",M261,N261)</f>
        <v>45654</v>
      </c>
      <c r="M261" s="46">
        <f t="shared" si="20"/>
        <v>45654</v>
      </c>
      <c r="Q261" s="43">
        <f t="shared" ref="Q261:Q324" si="23">IF(O261&lt;&gt;0,1,0)</f>
        <v>0</v>
      </c>
      <c r="R261" s="43">
        <f t="shared" ref="R261:R324" ca="1" si="24">IF(AND(L261&lt;($A$2+7), L261&gt;($A$2+6)),1,0)</f>
        <v>0</v>
      </c>
      <c r="S261" s="22"/>
      <c r="T261" s="25">
        <v>45289</v>
      </c>
    </row>
    <row r="262" spans="1:20" x14ac:dyDescent="0.3">
      <c r="A262" s="13">
        <v>259</v>
      </c>
      <c r="B262" s="1" t="s">
        <v>224</v>
      </c>
      <c r="C262" s="39">
        <f t="shared" ca="1" si="21"/>
        <v>0</v>
      </c>
      <c r="D262" t="s">
        <v>225</v>
      </c>
      <c r="E262" t="s">
        <v>230</v>
      </c>
      <c r="F262" s="7" t="s">
        <v>79</v>
      </c>
      <c r="G262" s="6" t="s">
        <v>681</v>
      </c>
      <c r="H262" s="2" t="s">
        <v>681</v>
      </c>
      <c r="I262" s="1">
        <v>735</v>
      </c>
      <c r="J262" s="1">
        <v>5</v>
      </c>
      <c r="L262" s="45">
        <f t="shared" si="22"/>
        <v>46025</v>
      </c>
      <c r="M262" s="46">
        <f t="shared" si="20"/>
        <v>46025</v>
      </c>
      <c r="Q262" s="43">
        <f t="shared" si="23"/>
        <v>0</v>
      </c>
      <c r="R262" s="43">
        <f t="shared" ca="1" si="24"/>
        <v>0</v>
      </c>
      <c r="S262" s="22"/>
      <c r="T262" s="25">
        <v>45290</v>
      </c>
    </row>
    <row r="263" spans="1:20" x14ac:dyDescent="0.3">
      <c r="A263" s="13">
        <v>260</v>
      </c>
      <c r="B263" s="1" t="s">
        <v>224</v>
      </c>
      <c r="C263" s="39">
        <f t="shared" ca="1" si="21"/>
        <v>0</v>
      </c>
      <c r="D263" t="s">
        <v>225</v>
      </c>
      <c r="E263" t="s">
        <v>249</v>
      </c>
      <c r="F263" s="7" t="s">
        <v>79</v>
      </c>
      <c r="G263" s="6" t="s">
        <v>681</v>
      </c>
      <c r="H263" s="2" t="s">
        <v>681</v>
      </c>
      <c r="I263" s="1">
        <v>1000</v>
      </c>
      <c r="J263" s="1">
        <v>60</v>
      </c>
      <c r="L263" s="45">
        <f t="shared" si="22"/>
        <v>46291</v>
      </c>
      <c r="M263" s="46">
        <f t="shared" si="20"/>
        <v>46291</v>
      </c>
      <c r="Q263" s="43">
        <f t="shared" si="23"/>
        <v>0</v>
      </c>
      <c r="R263" s="43">
        <f t="shared" ca="1" si="24"/>
        <v>0</v>
      </c>
      <c r="S263" s="22"/>
      <c r="T263" s="25">
        <v>45291</v>
      </c>
    </row>
    <row r="264" spans="1:20" x14ac:dyDescent="0.3">
      <c r="A264" s="13">
        <v>261</v>
      </c>
      <c r="B264" s="1" t="s">
        <v>224</v>
      </c>
      <c r="C264" s="39">
        <f t="shared" ca="1" si="21"/>
        <v>0</v>
      </c>
      <c r="D264" t="s">
        <v>225</v>
      </c>
      <c r="E264" t="s">
        <v>250</v>
      </c>
      <c r="F264" s="7" t="s">
        <v>79</v>
      </c>
      <c r="G264" s="6" t="s">
        <v>681</v>
      </c>
      <c r="H264" s="2" t="s">
        <v>681</v>
      </c>
      <c r="I264" s="1">
        <v>1000</v>
      </c>
      <c r="J264" s="1">
        <v>60</v>
      </c>
      <c r="L264" s="45">
        <f t="shared" si="22"/>
        <v>46292</v>
      </c>
      <c r="M264" s="46">
        <f t="shared" si="20"/>
        <v>46292</v>
      </c>
      <c r="Q264" s="43">
        <f t="shared" si="23"/>
        <v>0</v>
      </c>
      <c r="R264" s="43">
        <f t="shared" ca="1" si="24"/>
        <v>0</v>
      </c>
      <c r="S264" s="22"/>
      <c r="T264" s="25">
        <v>45292</v>
      </c>
    </row>
    <row r="265" spans="1:20" x14ac:dyDescent="0.3">
      <c r="A265" s="13">
        <v>262</v>
      </c>
      <c r="B265" s="1" t="s">
        <v>224</v>
      </c>
      <c r="C265" s="39">
        <f t="shared" ca="1" si="21"/>
        <v>1</v>
      </c>
      <c r="D265" t="s">
        <v>225</v>
      </c>
      <c r="E265" t="s">
        <v>231</v>
      </c>
      <c r="F265" s="7" t="s">
        <v>79</v>
      </c>
      <c r="G265" s="6" t="s">
        <v>681</v>
      </c>
      <c r="H265" s="2" t="s">
        <v>681</v>
      </c>
      <c r="I265" s="1">
        <v>735</v>
      </c>
      <c r="J265" s="1">
        <v>60</v>
      </c>
      <c r="L265" s="45">
        <f t="shared" si="22"/>
        <v>45084</v>
      </c>
      <c r="M265" s="46">
        <f t="shared" si="20"/>
        <v>46028</v>
      </c>
      <c r="N265" s="50">
        <v>45084</v>
      </c>
      <c r="Q265" s="43">
        <f t="shared" si="23"/>
        <v>0</v>
      </c>
      <c r="R265" s="43">
        <f t="shared" ca="1" si="24"/>
        <v>0</v>
      </c>
      <c r="S265" s="22"/>
      <c r="T265" s="25">
        <v>45293</v>
      </c>
    </row>
    <row r="266" spans="1:20" x14ac:dyDescent="0.3">
      <c r="A266" s="13">
        <v>263</v>
      </c>
      <c r="B266" s="1" t="s">
        <v>224</v>
      </c>
      <c r="C266" s="39">
        <f t="shared" ca="1" si="21"/>
        <v>0</v>
      </c>
      <c r="D266" t="s">
        <v>225</v>
      </c>
      <c r="E266" t="s">
        <v>232</v>
      </c>
      <c r="F266" s="7" t="s">
        <v>79</v>
      </c>
      <c r="G266" s="6" t="s">
        <v>681</v>
      </c>
      <c r="H266" s="2" t="s">
        <v>681</v>
      </c>
      <c r="I266" s="1">
        <v>1000</v>
      </c>
      <c r="J266" s="1">
        <v>60</v>
      </c>
      <c r="L266" s="45">
        <f t="shared" si="22"/>
        <v>46294</v>
      </c>
      <c r="M266" s="46">
        <f t="shared" si="20"/>
        <v>46294</v>
      </c>
      <c r="Q266" s="43">
        <f t="shared" si="23"/>
        <v>0</v>
      </c>
      <c r="R266" s="43">
        <f t="shared" ca="1" si="24"/>
        <v>0</v>
      </c>
      <c r="S266" s="22"/>
      <c r="T266" s="25">
        <v>45294</v>
      </c>
    </row>
    <row r="267" spans="1:20" x14ac:dyDescent="0.3">
      <c r="A267" s="13">
        <v>264</v>
      </c>
      <c r="B267" s="1" t="s">
        <v>224</v>
      </c>
      <c r="C267" s="39">
        <f t="shared" ca="1" si="21"/>
        <v>0</v>
      </c>
      <c r="D267" t="s">
        <v>226</v>
      </c>
      <c r="E267" t="s">
        <v>233</v>
      </c>
      <c r="F267" s="7" t="s">
        <v>79</v>
      </c>
      <c r="G267" s="6" t="s">
        <v>681</v>
      </c>
      <c r="H267" s="2" t="s">
        <v>681</v>
      </c>
      <c r="I267" s="1">
        <v>1000</v>
      </c>
      <c r="J267" s="1">
        <v>60</v>
      </c>
      <c r="L267" s="45">
        <f t="shared" si="22"/>
        <v>46295</v>
      </c>
      <c r="M267" s="46">
        <f t="shared" si="20"/>
        <v>46295</v>
      </c>
      <c r="Q267" s="43">
        <f t="shared" si="23"/>
        <v>0</v>
      </c>
      <c r="R267" s="43">
        <f t="shared" ca="1" si="24"/>
        <v>0</v>
      </c>
      <c r="S267" s="22"/>
      <c r="T267" s="25">
        <v>45295</v>
      </c>
    </row>
    <row r="268" spans="1:20" x14ac:dyDescent="0.3">
      <c r="A268" s="13">
        <v>265</v>
      </c>
      <c r="B268" s="1" t="s">
        <v>224</v>
      </c>
      <c r="C268" s="39">
        <f t="shared" ca="1" si="21"/>
        <v>0</v>
      </c>
      <c r="D268" t="s">
        <v>226</v>
      </c>
      <c r="E268" t="s">
        <v>234</v>
      </c>
      <c r="F268" s="7" t="s">
        <v>79</v>
      </c>
      <c r="G268" s="6" t="s">
        <v>681</v>
      </c>
      <c r="H268" s="2" t="s">
        <v>681</v>
      </c>
      <c r="I268" s="1">
        <v>1000</v>
      </c>
      <c r="J268" s="1">
        <v>60</v>
      </c>
      <c r="L268" s="45">
        <f t="shared" si="22"/>
        <v>46296</v>
      </c>
      <c r="M268" s="46">
        <f t="shared" si="20"/>
        <v>46296</v>
      </c>
      <c r="Q268" s="43">
        <f t="shared" si="23"/>
        <v>0</v>
      </c>
      <c r="R268" s="43">
        <f t="shared" ca="1" si="24"/>
        <v>0</v>
      </c>
      <c r="S268" s="22"/>
      <c r="T268" s="25">
        <v>45296</v>
      </c>
    </row>
    <row r="269" spans="1:20" x14ac:dyDescent="0.3">
      <c r="A269" s="13">
        <v>266</v>
      </c>
      <c r="B269" s="1" t="s">
        <v>224</v>
      </c>
      <c r="C269" s="39">
        <f t="shared" ca="1" si="21"/>
        <v>0</v>
      </c>
      <c r="D269" t="s">
        <v>226</v>
      </c>
      <c r="E269" t="s">
        <v>235</v>
      </c>
      <c r="F269" s="7" t="s">
        <v>79</v>
      </c>
      <c r="G269" s="6" t="s">
        <v>681</v>
      </c>
      <c r="H269" s="2" t="s">
        <v>681</v>
      </c>
      <c r="I269" s="1">
        <v>735</v>
      </c>
      <c r="J269" s="1">
        <v>60</v>
      </c>
      <c r="L269" s="45">
        <f t="shared" si="22"/>
        <v>46032</v>
      </c>
      <c r="M269" s="46">
        <f t="shared" si="20"/>
        <v>46032</v>
      </c>
      <c r="Q269" s="43">
        <f t="shared" si="23"/>
        <v>0</v>
      </c>
      <c r="R269" s="43">
        <f t="shared" ca="1" si="24"/>
        <v>0</v>
      </c>
      <c r="S269" s="22"/>
      <c r="T269" s="25">
        <v>45297</v>
      </c>
    </row>
    <row r="270" spans="1:20" x14ac:dyDescent="0.3">
      <c r="A270" s="13">
        <v>267</v>
      </c>
      <c r="B270" s="1" t="s">
        <v>224</v>
      </c>
      <c r="C270" s="39">
        <f t="shared" ca="1" si="21"/>
        <v>0</v>
      </c>
      <c r="D270" t="s">
        <v>226</v>
      </c>
      <c r="E270" t="s">
        <v>236</v>
      </c>
      <c r="F270" s="7" t="s">
        <v>79</v>
      </c>
      <c r="G270" s="6" t="s">
        <v>681</v>
      </c>
      <c r="H270" s="2" t="s">
        <v>681</v>
      </c>
      <c r="I270" s="1">
        <v>735</v>
      </c>
      <c r="J270" s="1">
        <v>60</v>
      </c>
      <c r="L270" s="45">
        <f t="shared" si="22"/>
        <v>46033</v>
      </c>
      <c r="M270" s="46">
        <f t="shared" si="20"/>
        <v>46033</v>
      </c>
      <c r="Q270" s="43">
        <f t="shared" si="23"/>
        <v>0</v>
      </c>
      <c r="R270" s="43">
        <f t="shared" ca="1" si="24"/>
        <v>0</v>
      </c>
      <c r="S270" s="22"/>
      <c r="T270" s="25">
        <v>45298</v>
      </c>
    </row>
    <row r="271" spans="1:20" x14ac:dyDescent="0.3">
      <c r="A271" s="13">
        <v>268</v>
      </c>
      <c r="B271" s="1" t="s">
        <v>224</v>
      </c>
      <c r="C271" s="39">
        <f t="shared" ca="1" si="21"/>
        <v>0</v>
      </c>
      <c r="D271" t="s">
        <v>226</v>
      </c>
      <c r="E271" t="s">
        <v>237</v>
      </c>
      <c r="F271" s="7" t="s">
        <v>79</v>
      </c>
      <c r="G271" s="6" t="s">
        <v>681</v>
      </c>
      <c r="H271" s="2" t="s">
        <v>681</v>
      </c>
      <c r="I271" s="1">
        <v>1000</v>
      </c>
      <c r="J271" s="1">
        <v>30</v>
      </c>
      <c r="L271" s="45">
        <f t="shared" si="22"/>
        <v>46299</v>
      </c>
      <c r="M271" s="46">
        <f t="shared" si="20"/>
        <v>46299</v>
      </c>
      <c r="Q271" s="43">
        <f t="shared" si="23"/>
        <v>0</v>
      </c>
      <c r="R271" s="43">
        <f t="shared" ca="1" si="24"/>
        <v>0</v>
      </c>
      <c r="S271" s="22"/>
      <c r="T271" s="25">
        <v>45299</v>
      </c>
    </row>
    <row r="272" spans="1:20" x14ac:dyDescent="0.3">
      <c r="A272" s="13">
        <v>269</v>
      </c>
      <c r="B272" s="1" t="s">
        <v>224</v>
      </c>
      <c r="C272" s="39">
        <f t="shared" ca="1" si="21"/>
        <v>0</v>
      </c>
      <c r="D272" t="s">
        <v>226</v>
      </c>
      <c r="E272" t="s">
        <v>232</v>
      </c>
      <c r="F272" s="7" t="s">
        <v>79</v>
      </c>
      <c r="G272" s="6" t="s">
        <v>681</v>
      </c>
      <c r="H272" s="2" t="s">
        <v>681</v>
      </c>
      <c r="I272" s="1">
        <v>1000</v>
      </c>
      <c r="J272" s="1">
        <v>60</v>
      </c>
      <c r="L272" s="45">
        <f t="shared" si="22"/>
        <v>46300</v>
      </c>
      <c r="M272" s="46">
        <f t="shared" si="20"/>
        <v>46300</v>
      </c>
      <c r="Q272" s="43">
        <f t="shared" si="23"/>
        <v>0</v>
      </c>
      <c r="R272" s="43">
        <f t="shared" ca="1" si="24"/>
        <v>0</v>
      </c>
      <c r="S272" s="22"/>
      <c r="T272" s="25">
        <v>45300</v>
      </c>
    </row>
    <row r="273" spans="1:20" x14ac:dyDescent="0.3">
      <c r="A273" s="13">
        <v>270</v>
      </c>
      <c r="B273" s="1" t="s">
        <v>224</v>
      </c>
      <c r="C273" s="39">
        <f t="shared" ca="1" si="21"/>
        <v>0</v>
      </c>
      <c r="D273" t="s">
        <v>226</v>
      </c>
      <c r="E273" t="s">
        <v>238</v>
      </c>
      <c r="F273" s="7" t="s">
        <v>79</v>
      </c>
      <c r="G273" s="6" t="s">
        <v>681</v>
      </c>
      <c r="H273" s="2" t="s">
        <v>681</v>
      </c>
      <c r="I273" s="1">
        <v>735</v>
      </c>
      <c r="J273" s="1">
        <v>60</v>
      </c>
      <c r="L273" s="45">
        <f t="shared" si="22"/>
        <v>46036</v>
      </c>
      <c r="M273" s="46">
        <f t="shared" si="20"/>
        <v>46036</v>
      </c>
      <c r="Q273" s="43">
        <f t="shared" si="23"/>
        <v>0</v>
      </c>
      <c r="R273" s="43">
        <f t="shared" ca="1" si="24"/>
        <v>0</v>
      </c>
      <c r="S273" s="22"/>
      <c r="T273" s="25">
        <v>45301</v>
      </c>
    </row>
    <row r="274" spans="1:20" x14ac:dyDescent="0.3">
      <c r="A274" s="13">
        <v>271</v>
      </c>
      <c r="B274" s="1" t="s">
        <v>224</v>
      </c>
      <c r="C274" s="39">
        <f t="shared" ca="1" si="21"/>
        <v>0</v>
      </c>
      <c r="D274" t="s">
        <v>227</v>
      </c>
      <c r="E274" t="s">
        <v>239</v>
      </c>
      <c r="F274" s="7" t="s">
        <v>79</v>
      </c>
      <c r="G274" s="6" t="s">
        <v>681</v>
      </c>
      <c r="H274" s="2" t="s">
        <v>681</v>
      </c>
      <c r="I274" s="1">
        <v>730</v>
      </c>
      <c r="J274" s="1">
        <v>30</v>
      </c>
      <c r="L274" s="45">
        <f t="shared" si="22"/>
        <v>46032</v>
      </c>
      <c r="M274" s="46">
        <f t="shared" si="20"/>
        <v>46032</v>
      </c>
      <c r="Q274" s="43">
        <f t="shared" si="23"/>
        <v>0</v>
      </c>
      <c r="R274" s="43">
        <f t="shared" ca="1" si="24"/>
        <v>0</v>
      </c>
      <c r="S274" s="22"/>
      <c r="T274" s="25">
        <v>45302</v>
      </c>
    </row>
    <row r="275" spans="1:20" x14ac:dyDescent="0.3">
      <c r="A275" s="13">
        <v>272</v>
      </c>
      <c r="B275" s="1" t="s">
        <v>224</v>
      </c>
      <c r="C275" s="39">
        <f t="shared" ca="1" si="21"/>
        <v>1</v>
      </c>
      <c r="D275" t="s">
        <v>227</v>
      </c>
      <c r="E275" t="s">
        <v>240</v>
      </c>
      <c r="F275" s="7" t="s">
        <v>79</v>
      </c>
      <c r="G275" s="6" t="s">
        <v>681</v>
      </c>
      <c r="H275" s="2" t="s">
        <v>681</v>
      </c>
      <c r="I275" s="1">
        <v>1000</v>
      </c>
      <c r="J275" s="1">
        <v>15</v>
      </c>
      <c r="L275" s="45">
        <f t="shared" si="22"/>
        <v>45084</v>
      </c>
      <c r="M275" s="46">
        <f t="shared" si="20"/>
        <v>46303</v>
      </c>
      <c r="N275" s="50">
        <v>45084</v>
      </c>
      <c r="Q275" s="43">
        <f t="shared" si="23"/>
        <v>0</v>
      </c>
      <c r="R275" s="43">
        <f t="shared" ca="1" si="24"/>
        <v>0</v>
      </c>
      <c r="S275" s="22"/>
      <c r="T275" s="25">
        <v>45303</v>
      </c>
    </row>
    <row r="276" spans="1:20" x14ac:dyDescent="0.3">
      <c r="A276" s="13">
        <v>273</v>
      </c>
      <c r="B276" s="1" t="s">
        <v>224</v>
      </c>
      <c r="C276" s="39">
        <f t="shared" ca="1" si="21"/>
        <v>0</v>
      </c>
      <c r="D276" t="s">
        <v>228</v>
      </c>
      <c r="E276" t="s">
        <v>241</v>
      </c>
      <c r="F276" s="7" t="s">
        <v>79</v>
      </c>
      <c r="G276" s="6" t="s">
        <v>681</v>
      </c>
      <c r="H276" s="2" t="s">
        <v>681</v>
      </c>
      <c r="I276" s="1">
        <v>735</v>
      </c>
      <c r="J276" s="1">
        <v>60</v>
      </c>
      <c r="L276" s="45">
        <f t="shared" si="22"/>
        <v>46039</v>
      </c>
      <c r="M276" s="46">
        <f t="shared" si="20"/>
        <v>46039</v>
      </c>
      <c r="Q276" s="43">
        <f t="shared" si="23"/>
        <v>0</v>
      </c>
      <c r="R276" s="43">
        <f t="shared" ca="1" si="24"/>
        <v>0</v>
      </c>
      <c r="S276" s="22"/>
      <c r="T276" s="25">
        <v>45304</v>
      </c>
    </row>
    <row r="277" spans="1:20" x14ac:dyDescent="0.3">
      <c r="A277" s="13">
        <v>274</v>
      </c>
      <c r="B277" s="1" t="s">
        <v>224</v>
      </c>
      <c r="C277" s="39">
        <f t="shared" ca="1" si="21"/>
        <v>0</v>
      </c>
      <c r="D277" t="s">
        <v>228</v>
      </c>
      <c r="E277" t="s">
        <v>242</v>
      </c>
      <c r="F277" s="7" t="s">
        <v>79</v>
      </c>
      <c r="G277" s="6" t="s">
        <v>681</v>
      </c>
      <c r="H277" s="2" t="s">
        <v>681</v>
      </c>
      <c r="I277" s="1">
        <v>735</v>
      </c>
      <c r="J277" s="1">
        <v>60</v>
      </c>
      <c r="L277" s="45">
        <f t="shared" si="22"/>
        <v>46040</v>
      </c>
      <c r="M277" s="46">
        <f t="shared" si="20"/>
        <v>46040</v>
      </c>
      <c r="Q277" s="43">
        <f t="shared" si="23"/>
        <v>0</v>
      </c>
      <c r="R277" s="43">
        <f t="shared" ca="1" si="24"/>
        <v>0</v>
      </c>
      <c r="S277" s="22"/>
      <c r="T277" s="25">
        <v>45305</v>
      </c>
    </row>
    <row r="278" spans="1:20" x14ac:dyDescent="0.3">
      <c r="A278" s="13">
        <v>275</v>
      </c>
      <c r="B278" s="1" t="s">
        <v>224</v>
      </c>
      <c r="C278" s="39">
        <f t="shared" ca="1" si="21"/>
        <v>0</v>
      </c>
      <c r="D278" t="s">
        <v>228</v>
      </c>
      <c r="E278" t="s">
        <v>243</v>
      </c>
      <c r="F278" s="7" t="s">
        <v>79</v>
      </c>
      <c r="G278" s="6" t="s">
        <v>681</v>
      </c>
      <c r="H278" s="2" t="s">
        <v>681</v>
      </c>
      <c r="I278" s="1">
        <v>1000</v>
      </c>
      <c r="J278" s="1">
        <v>60</v>
      </c>
      <c r="L278" s="45">
        <f t="shared" si="22"/>
        <v>46306</v>
      </c>
      <c r="M278" s="46">
        <f t="shared" si="20"/>
        <v>46306</v>
      </c>
      <c r="Q278" s="43">
        <f t="shared" si="23"/>
        <v>0</v>
      </c>
      <c r="R278" s="43">
        <f t="shared" ca="1" si="24"/>
        <v>0</v>
      </c>
      <c r="S278" s="22"/>
      <c r="T278" s="25">
        <v>45306</v>
      </c>
    </row>
    <row r="279" spans="1:20" x14ac:dyDescent="0.3">
      <c r="A279" s="13">
        <v>276</v>
      </c>
      <c r="B279" s="1" t="s">
        <v>224</v>
      </c>
      <c r="C279" s="39">
        <f t="shared" ca="1" si="21"/>
        <v>0</v>
      </c>
      <c r="D279" t="s">
        <v>228</v>
      </c>
      <c r="E279" t="s">
        <v>244</v>
      </c>
      <c r="F279" s="7" t="s">
        <v>79</v>
      </c>
      <c r="G279" s="6" t="s">
        <v>681</v>
      </c>
      <c r="H279" s="2" t="s">
        <v>681</v>
      </c>
      <c r="I279" s="1">
        <v>1000</v>
      </c>
      <c r="J279" s="1">
        <v>30</v>
      </c>
      <c r="L279" s="45">
        <f t="shared" si="22"/>
        <v>46307</v>
      </c>
      <c r="M279" s="46">
        <f t="shared" si="20"/>
        <v>46307</v>
      </c>
      <c r="Q279" s="43">
        <f t="shared" si="23"/>
        <v>0</v>
      </c>
      <c r="R279" s="43">
        <f t="shared" ca="1" si="24"/>
        <v>0</v>
      </c>
      <c r="S279" s="22"/>
      <c r="T279" s="25">
        <v>45307</v>
      </c>
    </row>
    <row r="280" spans="1:20" x14ac:dyDescent="0.3">
      <c r="A280" s="13">
        <v>277</v>
      </c>
      <c r="B280" s="1" t="s">
        <v>224</v>
      </c>
      <c r="C280" s="39">
        <f t="shared" ca="1" si="21"/>
        <v>0</v>
      </c>
      <c r="D280" t="s">
        <v>229</v>
      </c>
      <c r="E280" t="s">
        <v>245</v>
      </c>
      <c r="F280" s="7" t="s">
        <v>79</v>
      </c>
      <c r="G280" s="6" t="s">
        <v>681</v>
      </c>
      <c r="H280" s="2" t="s">
        <v>681</v>
      </c>
      <c r="I280" s="1">
        <v>365</v>
      </c>
      <c r="J280" s="1">
        <v>15</v>
      </c>
      <c r="L280" s="45">
        <f t="shared" si="22"/>
        <v>45673</v>
      </c>
      <c r="M280" s="46">
        <f t="shared" si="20"/>
        <v>45673</v>
      </c>
      <c r="Q280" s="43">
        <f t="shared" si="23"/>
        <v>0</v>
      </c>
      <c r="R280" s="43">
        <f t="shared" ca="1" si="24"/>
        <v>0</v>
      </c>
      <c r="S280" s="22"/>
      <c r="T280" s="25">
        <v>45308</v>
      </c>
    </row>
    <row r="281" spans="1:20" x14ac:dyDescent="0.3">
      <c r="A281" s="13">
        <v>278</v>
      </c>
      <c r="B281" s="1" t="s">
        <v>224</v>
      </c>
      <c r="C281" s="39">
        <f t="shared" ca="1" si="21"/>
        <v>0</v>
      </c>
      <c r="D281" t="s">
        <v>229</v>
      </c>
      <c r="E281" t="s">
        <v>246</v>
      </c>
      <c r="F281" s="7" t="s">
        <v>79</v>
      </c>
      <c r="G281" s="6" t="s">
        <v>681</v>
      </c>
      <c r="H281" s="2" t="s">
        <v>681</v>
      </c>
      <c r="I281" s="1">
        <v>365</v>
      </c>
      <c r="J281" s="1">
        <v>15</v>
      </c>
      <c r="L281" s="45">
        <f t="shared" si="22"/>
        <v>45674</v>
      </c>
      <c r="M281" s="46">
        <f t="shared" si="20"/>
        <v>45674</v>
      </c>
      <c r="Q281" s="43">
        <f t="shared" si="23"/>
        <v>0</v>
      </c>
      <c r="R281" s="43">
        <f t="shared" ca="1" si="24"/>
        <v>0</v>
      </c>
      <c r="S281" s="22"/>
      <c r="T281" s="25">
        <v>45309</v>
      </c>
    </row>
    <row r="282" spans="1:20" x14ac:dyDescent="0.3">
      <c r="A282" s="13">
        <v>279</v>
      </c>
      <c r="B282" s="1" t="s">
        <v>224</v>
      </c>
      <c r="C282" s="39">
        <f t="shared" ca="1" si="21"/>
        <v>0</v>
      </c>
      <c r="D282" t="s">
        <v>229</v>
      </c>
      <c r="E282" t="s">
        <v>247</v>
      </c>
      <c r="F282" s="7" t="s">
        <v>79</v>
      </c>
      <c r="G282" s="6" t="s">
        <v>681</v>
      </c>
      <c r="H282" s="2" t="s">
        <v>681</v>
      </c>
      <c r="I282" s="1">
        <v>365</v>
      </c>
      <c r="J282" s="1">
        <v>15</v>
      </c>
      <c r="L282" s="45">
        <f t="shared" si="22"/>
        <v>45675</v>
      </c>
      <c r="M282" s="46">
        <f t="shared" si="20"/>
        <v>45675</v>
      </c>
      <c r="Q282" s="43">
        <f t="shared" si="23"/>
        <v>0</v>
      </c>
      <c r="R282" s="43">
        <f t="shared" ca="1" si="24"/>
        <v>0</v>
      </c>
      <c r="S282" s="22"/>
      <c r="T282" s="25">
        <v>45310</v>
      </c>
    </row>
    <row r="283" spans="1:20" x14ac:dyDescent="0.3">
      <c r="A283" s="13">
        <v>280</v>
      </c>
      <c r="B283" s="1" t="s">
        <v>224</v>
      </c>
      <c r="C283" s="39">
        <f t="shared" ca="1" si="21"/>
        <v>0</v>
      </c>
      <c r="D283" t="s">
        <v>229</v>
      </c>
      <c r="E283" t="s">
        <v>248</v>
      </c>
      <c r="F283" s="7" t="s">
        <v>79</v>
      </c>
      <c r="G283" s="6" t="s">
        <v>681</v>
      </c>
      <c r="H283" s="2" t="s">
        <v>681</v>
      </c>
      <c r="I283" s="1">
        <v>365</v>
      </c>
      <c r="J283" s="1">
        <v>15</v>
      </c>
      <c r="L283" s="45">
        <f t="shared" si="22"/>
        <v>45676</v>
      </c>
      <c r="M283" s="46">
        <f t="shared" si="20"/>
        <v>45676</v>
      </c>
      <c r="Q283" s="43">
        <f t="shared" si="23"/>
        <v>0</v>
      </c>
      <c r="R283" s="43">
        <f t="shared" ca="1" si="24"/>
        <v>0</v>
      </c>
      <c r="S283" s="22"/>
      <c r="T283" s="25">
        <v>45311</v>
      </c>
    </row>
    <row r="284" spans="1:20" x14ac:dyDescent="0.3">
      <c r="A284" s="13">
        <v>281</v>
      </c>
      <c r="B284" s="1" t="s">
        <v>251</v>
      </c>
      <c r="C284" s="39">
        <f t="shared" ca="1" si="21"/>
        <v>0</v>
      </c>
      <c r="D284" t="s">
        <v>105</v>
      </c>
      <c r="E284" t="s">
        <v>139</v>
      </c>
      <c r="F284" s="7" t="s">
        <v>78</v>
      </c>
      <c r="G284" s="6" t="s">
        <v>681</v>
      </c>
      <c r="H284" s="2" t="s">
        <v>681</v>
      </c>
      <c r="I284" s="1">
        <v>14</v>
      </c>
      <c r="J284" s="1">
        <v>10</v>
      </c>
      <c r="L284" s="45">
        <f t="shared" si="22"/>
        <v>45326</v>
      </c>
      <c r="M284" s="46">
        <f t="shared" si="20"/>
        <v>45326</v>
      </c>
      <c r="Q284" s="43">
        <f t="shared" si="23"/>
        <v>0</v>
      </c>
      <c r="R284" s="43">
        <f t="shared" ca="1" si="24"/>
        <v>0</v>
      </c>
      <c r="S284" s="22"/>
      <c r="T284" s="25">
        <v>45312</v>
      </c>
    </row>
    <row r="285" spans="1:20" x14ac:dyDescent="0.3">
      <c r="A285" s="13">
        <v>282</v>
      </c>
      <c r="B285" s="4" t="s">
        <v>699</v>
      </c>
      <c r="C285" s="39">
        <f t="shared" ca="1" si="21"/>
        <v>1</v>
      </c>
      <c r="D285" t="s">
        <v>106</v>
      </c>
      <c r="E285" t="s">
        <v>140</v>
      </c>
      <c r="F285" s="7" t="s">
        <v>78</v>
      </c>
      <c r="G285" s="6" t="s">
        <v>681</v>
      </c>
      <c r="H285" s="2" t="s">
        <v>681</v>
      </c>
      <c r="I285" s="1">
        <v>14</v>
      </c>
      <c r="J285" s="1">
        <v>10</v>
      </c>
      <c r="L285" s="45">
        <f t="shared" si="22"/>
        <v>45084</v>
      </c>
      <c r="M285" s="46">
        <f t="shared" si="20"/>
        <v>45327</v>
      </c>
      <c r="N285" s="50">
        <v>45084</v>
      </c>
      <c r="Q285" s="43">
        <f t="shared" si="23"/>
        <v>0</v>
      </c>
      <c r="R285" s="43">
        <f t="shared" ca="1" si="24"/>
        <v>0</v>
      </c>
      <c r="S285" s="22"/>
      <c r="T285" s="25">
        <v>45313</v>
      </c>
    </row>
    <row r="286" spans="1:20" x14ac:dyDescent="0.3">
      <c r="A286" s="13">
        <v>283</v>
      </c>
      <c r="B286" s="1" t="s">
        <v>683</v>
      </c>
      <c r="C286" s="39">
        <f t="shared" ca="1" si="21"/>
        <v>0</v>
      </c>
      <c r="D286" t="s">
        <v>83</v>
      </c>
      <c r="E286" t="s">
        <v>252</v>
      </c>
      <c r="F286" s="7" t="s">
        <v>78</v>
      </c>
      <c r="G286" s="6" t="s">
        <v>681</v>
      </c>
      <c r="H286" s="2" t="s">
        <v>681</v>
      </c>
      <c r="I286" s="1">
        <v>14</v>
      </c>
      <c r="J286" s="1">
        <v>10</v>
      </c>
      <c r="L286" s="45">
        <f t="shared" si="22"/>
        <v>45328</v>
      </c>
      <c r="M286" s="46">
        <f t="shared" si="20"/>
        <v>45328</v>
      </c>
      <c r="Q286" s="43">
        <f t="shared" si="23"/>
        <v>0</v>
      </c>
      <c r="R286" s="43">
        <f t="shared" ca="1" si="24"/>
        <v>0</v>
      </c>
      <c r="S286" s="22"/>
      <c r="T286" s="25">
        <v>45314</v>
      </c>
    </row>
    <row r="287" spans="1:20" x14ac:dyDescent="0.3">
      <c r="A287" s="13">
        <v>284</v>
      </c>
      <c r="B287" s="1" t="s">
        <v>710</v>
      </c>
      <c r="C287" s="39">
        <f t="shared" ca="1" si="21"/>
        <v>0</v>
      </c>
      <c r="D287" t="s">
        <v>107</v>
      </c>
      <c r="E287" t="s">
        <v>141</v>
      </c>
      <c r="F287" s="7" t="s">
        <v>78</v>
      </c>
      <c r="G287" s="6" t="s">
        <v>681</v>
      </c>
      <c r="H287" s="2" t="s">
        <v>681</v>
      </c>
      <c r="I287" s="1">
        <v>14</v>
      </c>
      <c r="J287" s="1">
        <v>20</v>
      </c>
      <c r="L287" s="45">
        <f t="shared" si="22"/>
        <v>45329</v>
      </c>
      <c r="M287" s="46">
        <f t="shared" si="20"/>
        <v>45329</v>
      </c>
      <c r="Q287" s="43">
        <f t="shared" si="23"/>
        <v>0</v>
      </c>
      <c r="R287" s="43">
        <f t="shared" ca="1" si="24"/>
        <v>0</v>
      </c>
      <c r="S287" s="22"/>
      <c r="T287" s="25">
        <v>45315</v>
      </c>
    </row>
    <row r="288" spans="1:20" x14ac:dyDescent="0.3">
      <c r="A288" s="13">
        <v>285</v>
      </c>
      <c r="B288" s="1" t="s">
        <v>710</v>
      </c>
      <c r="C288" s="39">
        <f t="shared" ca="1" si="21"/>
        <v>0</v>
      </c>
      <c r="D288" t="s">
        <v>107</v>
      </c>
      <c r="E288" t="s">
        <v>253</v>
      </c>
      <c r="F288" s="7" t="s">
        <v>78</v>
      </c>
      <c r="G288" s="6" t="s">
        <v>681</v>
      </c>
      <c r="H288" s="2" t="s">
        <v>681</v>
      </c>
      <c r="I288" s="1">
        <v>14</v>
      </c>
      <c r="J288" s="1">
        <v>10</v>
      </c>
      <c r="L288" s="45">
        <f t="shared" si="22"/>
        <v>45330</v>
      </c>
      <c r="M288" s="46">
        <f t="shared" si="20"/>
        <v>45330</v>
      </c>
      <c r="Q288" s="43">
        <f t="shared" si="23"/>
        <v>0</v>
      </c>
      <c r="R288" s="43">
        <f t="shared" ca="1" si="24"/>
        <v>0</v>
      </c>
      <c r="S288" s="22"/>
      <c r="T288" s="25">
        <v>45316</v>
      </c>
    </row>
    <row r="289" spans="1:173" x14ac:dyDescent="0.3">
      <c r="A289" s="13">
        <v>286</v>
      </c>
      <c r="B289" s="1" t="s">
        <v>710</v>
      </c>
      <c r="C289" s="39">
        <f t="shared" ca="1" si="21"/>
        <v>1</v>
      </c>
      <c r="D289" t="s">
        <v>107</v>
      </c>
      <c r="E289" t="s">
        <v>254</v>
      </c>
      <c r="F289" s="7" t="s">
        <v>78</v>
      </c>
      <c r="G289" s="6" t="s">
        <v>681</v>
      </c>
      <c r="H289" s="2" t="s">
        <v>681</v>
      </c>
      <c r="I289" s="1">
        <v>14</v>
      </c>
      <c r="J289" s="1">
        <v>10</v>
      </c>
      <c r="L289" s="45">
        <f t="shared" si="22"/>
        <v>45084</v>
      </c>
      <c r="M289" s="46">
        <f t="shared" ref="M289:M352" si="25">T289+I289</f>
        <v>45331</v>
      </c>
      <c r="N289" s="50">
        <v>45084</v>
      </c>
      <c r="Q289" s="43">
        <f t="shared" si="23"/>
        <v>0</v>
      </c>
      <c r="R289" s="43">
        <f t="shared" ca="1" si="24"/>
        <v>0</v>
      </c>
      <c r="S289" s="22"/>
      <c r="T289" s="25">
        <v>45317</v>
      </c>
    </row>
    <row r="290" spans="1:173" x14ac:dyDescent="0.3">
      <c r="A290" s="13">
        <v>287</v>
      </c>
      <c r="B290" s="1" t="s">
        <v>710</v>
      </c>
      <c r="C290" s="39">
        <f t="shared" ca="1" si="21"/>
        <v>0</v>
      </c>
      <c r="D290" t="s">
        <v>107</v>
      </c>
      <c r="E290" t="s">
        <v>142</v>
      </c>
      <c r="F290" s="7" t="s">
        <v>78</v>
      </c>
      <c r="G290" s="6" t="s">
        <v>681</v>
      </c>
      <c r="H290" s="2" t="s">
        <v>681</v>
      </c>
      <c r="I290" s="1">
        <v>90</v>
      </c>
      <c r="J290" s="1">
        <v>30</v>
      </c>
      <c r="L290" s="45">
        <f t="shared" si="22"/>
        <v>45408</v>
      </c>
      <c r="M290" s="46">
        <f t="shared" si="25"/>
        <v>45408</v>
      </c>
      <c r="Q290" s="43">
        <f t="shared" si="23"/>
        <v>0</v>
      </c>
      <c r="R290" s="43">
        <f t="shared" ca="1" si="24"/>
        <v>0</v>
      </c>
      <c r="S290" s="22"/>
      <c r="T290" s="25">
        <v>45318</v>
      </c>
    </row>
    <row r="291" spans="1:173" x14ac:dyDescent="0.3">
      <c r="A291" s="13">
        <v>288</v>
      </c>
      <c r="B291" s="1" t="s">
        <v>251</v>
      </c>
      <c r="C291" s="39">
        <f t="shared" ca="1" si="21"/>
        <v>0</v>
      </c>
      <c r="D291" t="s">
        <v>251</v>
      </c>
      <c r="E291" t="s">
        <v>255</v>
      </c>
      <c r="F291" s="7" t="s">
        <v>78</v>
      </c>
      <c r="G291" s="6" t="s">
        <v>681</v>
      </c>
      <c r="H291" s="2" t="s">
        <v>681</v>
      </c>
      <c r="I291" s="1">
        <v>90</v>
      </c>
      <c r="J291" s="1">
        <v>10</v>
      </c>
      <c r="L291" s="45">
        <f t="shared" si="22"/>
        <v>45409</v>
      </c>
      <c r="M291" s="46">
        <f t="shared" si="25"/>
        <v>45409</v>
      </c>
      <c r="Q291" s="43">
        <f t="shared" si="23"/>
        <v>0</v>
      </c>
      <c r="R291" s="43">
        <f t="shared" ca="1" si="24"/>
        <v>0</v>
      </c>
      <c r="S291" s="22"/>
      <c r="T291" s="25">
        <v>45319</v>
      </c>
    </row>
    <row r="292" spans="1:173" x14ac:dyDescent="0.3">
      <c r="A292" s="13">
        <v>289</v>
      </c>
      <c r="B292" s="1" t="s">
        <v>251</v>
      </c>
      <c r="C292" s="39">
        <f t="shared" ca="1" si="21"/>
        <v>0</v>
      </c>
      <c r="D292" t="s">
        <v>251</v>
      </c>
      <c r="E292" t="s">
        <v>256</v>
      </c>
      <c r="F292" s="7" t="s">
        <v>78</v>
      </c>
      <c r="G292" s="6" t="s">
        <v>681</v>
      </c>
      <c r="H292" s="2" t="s">
        <v>681</v>
      </c>
      <c r="I292" s="1">
        <v>90</v>
      </c>
      <c r="J292" s="1">
        <v>10</v>
      </c>
      <c r="L292" s="45">
        <f t="shared" si="22"/>
        <v>45410</v>
      </c>
      <c r="M292" s="46">
        <f t="shared" si="25"/>
        <v>45410</v>
      </c>
      <c r="Q292" s="43">
        <f t="shared" si="23"/>
        <v>0</v>
      </c>
      <c r="R292" s="43">
        <f t="shared" ca="1" si="24"/>
        <v>0</v>
      </c>
      <c r="S292" s="22"/>
      <c r="T292" s="25">
        <v>45320</v>
      </c>
    </row>
    <row r="293" spans="1:173" x14ac:dyDescent="0.3">
      <c r="A293" s="13">
        <v>290</v>
      </c>
      <c r="B293" s="1" t="s">
        <v>251</v>
      </c>
      <c r="C293" s="39">
        <f t="shared" ca="1" si="21"/>
        <v>0</v>
      </c>
      <c r="D293" t="s">
        <v>251</v>
      </c>
      <c r="E293" t="s">
        <v>257</v>
      </c>
      <c r="F293" s="7" t="s">
        <v>78</v>
      </c>
      <c r="G293" s="6" t="s">
        <v>681</v>
      </c>
      <c r="H293" s="2" t="s">
        <v>681</v>
      </c>
      <c r="I293" s="1">
        <v>14</v>
      </c>
      <c r="J293" s="1">
        <v>10</v>
      </c>
      <c r="L293" s="45">
        <f t="shared" si="22"/>
        <v>45335</v>
      </c>
      <c r="M293" s="46">
        <f t="shared" si="25"/>
        <v>45335</v>
      </c>
      <c r="Q293" s="43">
        <f t="shared" si="23"/>
        <v>0</v>
      </c>
      <c r="R293" s="43">
        <f t="shared" ca="1" si="24"/>
        <v>0</v>
      </c>
      <c r="S293" s="22"/>
      <c r="T293" s="25">
        <v>45321</v>
      </c>
    </row>
    <row r="294" spans="1:173" x14ac:dyDescent="0.3">
      <c r="A294" s="13">
        <v>291</v>
      </c>
      <c r="B294" s="1" t="s">
        <v>251</v>
      </c>
      <c r="C294" s="39">
        <f t="shared" ca="1" si="21"/>
        <v>0</v>
      </c>
      <c r="D294" t="s">
        <v>251</v>
      </c>
      <c r="E294" t="s">
        <v>258</v>
      </c>
      <c r="F294" s="7" t="s">
        <v>78</v>
      </c>
      <c r="G294" s="6" t="s">
        <v>681</v>
      </c>
      <c r="H294" s="2" t="s">
        <v>681</v>
      </c>
      <c r="I294" s="1">
        <v>90</v>
      </c>
      <c r="J294" s="1">
        <v>10</v>
      </c>
      <c r="L294" s="45">
        <f t="shared" si="22"/>
        <v>45412</v>
      </c>
      <c r="M294" s="46">
        <f t="shared" si="25"/>
        <v>45412</v>
      </c>
      <c r="Q294" s="43">
        <f t="shared" si="23"/>
        <v>0</v>
      </c>
      <c r="R294" s="43">
        <f t="shared" ca="1" si="24"/>
        <v>0</v>
      </c>
      <c r="S294" s="22"/>
      <c r="T294" s="25">
        <v>45322</v>
      </c>
    </row>
    <row r="295" spans="1:173" x14ac:dyDescent="0.3">
      <c r="A295" s="13">
        <v>292</v>
      </c>
      <c r="B295" s="4" t="s">
        <v>699</v>
      </c>
      <c r="C295" s="39">
        <f t="shared" ca="1" si="21"/>
        <v>0</v>
      </c>
      <c r="D295" t="s">
        <v>35</v>
      </c>
      <c r="E295" t="s">
        <v>10</v>
      </c>
      <c r="F295" s="7" t="s">
        <v>78</v>
      </c>
      <c r="G295" s="6" t="s">
        <v>681</v>
      </c>
      <c r="H295" s="2" t="s">
        <v>681</v>
      </c>
      <c r="I295" s="1">
        <v>30</v>
      </c>
      <c r="J295" s="1">
        <v>10</v>
      </c>
      <c r="L295" s="45">
        <f t="shared" si="22"/>
        <v>45353</v>
      </c>
      <c r="M295" s="46">
        <f t="shared" si="25"/>
        <v>45353</v>
      </c>
      <c r="Q295" s="43">
        <f t="shared" si="23"/>
        <v>0</v>
      </c>
      <c r="R295" s="43">
        <f t="shared" ca="1" si="24"/>
        <v>0</v>
      </c>
      <c r="S295" s="22"/>
      <c r="T295" s="25">
        <v>45323</v>
      </c>
    </row>
    <row r="296" spans="1:173" x14ac:dyDescent="0.3">
      <c r="A296" s="13">
        <v>293</v>
      </c>
      <c r="B296" s="4" t="s">
        <v>699</v>
      </c>
      <c r="C296" s="39">
        <f t="shared" ca="1" si="21"/>
        <v>0</v>
      </c>
      <c r="D296" t="s">
        <v>35</v>
      </c>
      <c r="E296" t="s">
        <v>11</v>
      </c>
      <c r="F296" s="7" t="s">
        <v>78</v>
      </c>
      <c r="G296" s="6" t="s">
        <v>681</v>
      </c>
      <c r="H296" s="2" t="s">
        <v>681</v>
      </c>
      <c r="I296" s="1">
        <v>30</v>
      </c>
      <c r="J296" s="1">
        <v>10</v>
      </c>
      <c r="L296" s="45">
        <f t="shared" si="22"/>
        <v>45354</v>
      </c>
      <c r="M296" s="46">
        <f t="shared" si="25"/>
        <v>45354</v>
      </c>
      <c r="Q296" s="43">
        <f t="shared" si="23"/>
        <v>0</v>
      </c>
      <c r="R296" s="43">
        <f t="shared" ca="1" si="24"/>
        <v>0</v>
      </c>
      <c r="S296" s="22"/>
      <c r="T296" s="25">
        <v>45324</v>
      </c>
    </row>
    <row r="297" spans="1:173" x14ac:dyDescent="0.3">
      <c r="A297" s="13">
        <v>294</v>
      </c>
      <c r="B297" s="4" t="s">
        <v>699</v>
      </c>
      <c r="C297" s="39">
        <f t="shared" ca="1" si="21"/>
        <v>0</v>
      </c>
      <c r="D297" t="s">
        <v>37</v>
      </c>
      <c r="E297" t="s">
        <v>17</v>
      </c>
      <c r="F297" s="7" t="s">
        <v>78</v>
      </c>
      <c r="G297" s="6" t="s">
        <v>681</v>
      </c>
      <c r="H297" s="2" t="s">
        <v>681</v>
      </c>
      <c r="I297" s="1">
        <v>30</v>
      </c>
      <c r="J297" s="1">
        <v>10</v>
      </c>
      <c r="L297" s="45">
        <f t="shared" si="22"/>
        <v>45355</v>
      </c>
      <c r="M297" s="46">
        <f t="shared" si="25"/>
        <v>45355</v>
      </c>
      <c r="Q297" s="43">
        <f t="shared" si="23"/>
        <v>0</v>
      </c>
      <c r="R297" s="43">
        <f t="shared" ca="1" si="24"/>
        <v>0</v>
      </c>
      <c r="S297" s="22"/>
      <c r="T297" s="25">
        <v>45325</v>
      </c>
    </row>
    <row r="298" spans="1:173" x14ac:dyDescent="0.3">
      <c r="A298" s="13">
        <v>295</v>
      </c>
      <c r="B298" s="4" t="s">
        <v>699</v>
      </c>
      <c r="C298" s="39">
        <f t="shared" ca="1" si="21"/>
        <v>1</v>
      </c>
      <c r="D298" t="s">
        <v>37</v>
      </c>
      <c r="E298" t="s">
        <v>18</v>
      </c>
      <c r="F298" s="7" t="s">
        <v>78</v>
      </c>
      <c r="G298" s="6" t="s">
        <v>681</v>
      </c>
      <c r="H298" s="2" t="s">
        <v>681</v>
      </c>
      <c r="I298" s="1">
        <v>30</v>
      </c>
      <c r="J298" s="1">
        <v>10</v>
      </c>
      <c r="K298" s="20">
        <v>99</v>
      </c>
      <c r="L298" s="45">
        <f t="shared" si="22"/>
        <v>45084</v>
      </c>
      <c r="M298" s="46">
        <f t="shared" si="25"/>
        <v>45125</v>
      </c>
      <c r="N298" s="50">
        <v>45084</v>
      </c>
      <c r="Q298" s="43">
        <f t="shared" si="23"/>
        <v>0</v>
      </c>
      <c r="R298" s="43">
        <f t="shared" ca="1" si="24"/>
        <v>0</v>
      </c>
      <c r="S298" s="22"/>
      <c r="T298" s="25">
        <v>45095</v>
      </c>
      <c r="U298" s="25">
        <v>45090</v>
      </c>
      <c r="V298" s="31"/>
      <c r="FQ298" s="17"/>
    </row>
    <row r="299" spans="1:173" x14ac:dyDescent="0.3">
      <c r="A299" s="13">
        <v>296</v>
      </c>
      <c r="B299" s="4" t="s">
        <v>699</v>
      </c>
      <c r="C299" s="39">
        <f t="shared" ca="1" si="21"/>
        <v>0</v>
      </c>
      <c r="D299" t="s">
        <v>37</v>
      </c>
      <c r="E299" t="s">
        <v>19</v>
      </c>
      <c r="F299" s="7" t="s">
        <v>78</v>
      </c>
      <c r="G299" s="6" t="s">
        <v>681</v>
      </c>
      <c r="H299" s="2" t="s">
        <v>681</v>
      </c>
      <c r="I299" s="1">
        <v>7</v>
      </c>
      <c r="J299" s="1">
        <v>10</v>
      </c>
      <c r="L299" s="45">
        <f t="shared" si="22"/>
        <v>45334</v>
      </c>
      <c r="M299" s="46">
        <f t="shared" si="25"/>
        <v>45334</v>
      </c>
      <c r="Q299" s="43">
        <f t="shared" si="23"/>
        <v>0</v>
      </c>
      <c r="R299" s="43">
        <f t="shared" ca="1" si="24"/>
        <v>0</v>
      </c>
      <c r="S299" s="22"/>
      <c r="T299" s="25">
        <v>45327</v>
      </c>
    </row>
    <row r="300" spans="1:173" x14ac:dyDescent="0.3">
      <c r="A300" s="13">
        <v>297</v>
      </c>
      <c r="B300" s="4" t="s">
        <v>699</v>
      </c>
      <c r="C300" s="39">
        <f t="shared" ca="1" si="21"/>
        <v>0</v>
      </c>
      <c r="D300" t="s">
        <v>37</v>
      </c>
      <c r="E300" t="s">
        <v>20</v>
      </c>
      <c r="F300" s="7" t="s">
        <v>78</v>
      </c>
      <c r="G300" s="6" t="s">
        <v>681</v>
      </c>
      <c r="H300" s="2" t="s">
        <v>681</v>
      </c>
      <c r="I300" s="1">
        <v>7</v>
      </c>
      <c r="J300" s="1">
        <v>10</v>
      </c>
      <c r="L300" s="45">
        <f t="shared" si="22"/>
        <v>45335</v>
      </c>
      <c r="M300" s="46">
        <f t="shared" si="25"/>
        <v>45335</v>
      </c>
      <c r="Q300" s="43">
        <f t="shared" si="23"/>
        <v>0</v>
      </c>
      <c r="R300" s="43">
        <f t="shared" ca="1" si="24"/>
        <v>0</v>
      </c>
      <c r="S300" s="22"/>
      <c r="T300" s="25">
        <v>45328</v>
      </c>
    </row>
    <row r="301" spans="1:173" x14ac:dyDescent="0.3">
      <c r="A301" s="13">
        <v>298</v>
      </c>
      <c r="B301" s="4" t="s">
        <v>699</v>
      </c>
      <c r="C301" s="39">
        <f t="shared" ca="1" si="21"/>
        <v>1</v>
      </c>
      <c r="D301" t="s">
        <v>37</v>
      </c>
      <c r="E301" t="s">
        <v>21</v>
      </c>
      <c r="F301" s="7" t="s">
        <v>78</v>
      </c>
      <c r="G301" s="6" t="s">
        <v>681</v>
      </c>
      <c r="H301" s="2" t="s">
        <v>681</v>
      </c>
      <c r="I301" s="1">
        <v>7</v>
      </c>
      <c r="J301" s="1">
        <v>10</v>
      </c>
      <c r="L301" s="45">
        <f t="shared" si="22"/>
        <v>45084</v>
      </c>
      <c r="M301" s="46">
        <f t="shared" si="25"/>
        <v>45336</v>
      </c>
      <c r="N301" s="50">
        <v>45084</v>
      </c>
      <c r="Q301" s="43">
        <f t="shared" si="23"/>
        <v>0</v>
      </c>
      <c r="R301" s="43">
        <f t="shared" ca="1" si="24"/>
        <v>0</v>
      </c>
      <c r="S301" s="22"/>
      <c r="T301" s="25">
        <v>45329</v>
      </c>
    </row>
    <row r="302" spans="1:173" x14ac:dyDescent="0.3">
      <c r="A302" s="13">
        <v>299</v>
      </c>
      <c r="B302" s="4" t="s">
        <v>700</v>
      </c>
      <c r="C302" s="39">
        <f t="shared" ca="1" si="21"/>
        <v>0</v>
      </c>
      <c r="D302" t="s">
        <v>38</v>
      </c>
      <c r="E302" t="s">
        <v>22</v>
      </c>
      <c r="F302" s="7" t="s">
        <v>78</v>
      </c>
      <c r="G302" s="6" t="s">
        <v>681</v>
      </c>
      <c r="H302" s="2" t="s">
        <v>681</v>
      </c>
      <c r="I302" s="1">
        <v>180</v>
      </c>
      <c r="J302" s="1">
        <v>10</v>
      </c>
      <c r="L302" s="45">
        <f t="shared" si="22"/>
        <v>45510</v>
      </c>
      <c r="M302" s="46">
        <f t="shared" si="25"/>
        <v>45510</v>
      </c>
      <c r="Q302" s="43">
        <f t="shared" si="23"/>
        <v>0</v>
      </c>
      <c r="R302" s="43">
        <f t="shared" ca="1" si="24"/>
        <v>0</v>
      </c>
      <c r="S302" s="22"/>
      <c r="T302" s="25">
        <v>45330</v>
      </c>
    </row>
    <row r="303" spans="1:173" x14ac:dyDescent="0.3">
      <c r="A303" s="13">
        <v>300</v>
      </c>
      <c r="B303" s="4" t="s">
        <v>700</v>
      </c>
      <c r="C303" s="39">
        <f t="shared" ca="1" si="21"/>
        <v>0</v>
      </c>
      <c r="D303" t="s">
        <v>38</v>
      </c>
      <c r="E303" t="s">
        <v>23</v>
      </c>
      <c r="F303" s="7" t="s">
        <v>78</v>
      </c>
      <c r="G303" s="6" t="s">
        <v>681</v>
      </c>
      <c r="H303" s="2" t="s">
        <v>681</v>
      </c>
      <c r="I303" s="1">
        <v>180</v>
      </c>
      <c r="J303" s="1">
        <v>10</v>
      </c>
      <c r="L303" s="45">
        <f t="shared" si="22"/>
        <v>45511</v>
      </c>
      <c r="M303" s="46">
        <f t="shared" si="25"/>
        <v>45511</v>
      </c>
      <c r="Q303" s="43">
        <f t="shared" si="23"/>
        <v>0</v>
      </c>
      <c r="R303" s="43">
        <f t="shared" ca="1" si="24"/>
        <v>0</v>
      </c>
      <c r="S303" s="22"/>
      <c r="T303" s="25">
        <v>45331</v>
      </c>
    </row>
    <row r="304" spans="1:173" x14ac:dyDescent="0.3">
      <c r="A304" s="13">
        <v>301</v>
      </c>
      <c r="B304" s="4" t="s">
        <v>700</v>
      </c>
      <c r="C304" s="39">
        <f t="shared" ca="1" si="21"/>
        <v>0</v>
      </c>
      <c r="D304" t="s">
        <v>38</v>
      </c>
      <c r="E304" t="s">
        <v>24</v>
      </c>
      <c r="F304" s="7" t="s">
        <v>78</v>
      </c>
      <c r="G304" s="6" t="s">
        <v>681</v>
      </c>
      <c r="H304" s="2" t="s">
        <v>681</v>
      </c>
      <c r="I304" s="1">
        <v>180</v>
      </c>
      <c r="J304" s="1">
        <v>10</v>
      </c>
      <c r="L304" s="45">
        <f t="shared" si="22"/>
        <v>45512</v>
      </c>
      <c r="M304" s="46">
        <f t="shared" si="25"/>
        <v>45512</v>
      </c>
      <c r="Q304" s="43">
        <f t="shared" si="23"/>
        <v>0</v>
      </c>
      <c r="R304" s="43">
        <f t="shared" ca="1" si="24"/>
        <v>0</v>
      </c>
      <c r="S304" s="22"/>
      <c r="T304" s="25">
        <v>45332</v>
      </c>
    </row>
    <row r="305" spans="1:20" x14ac:dyDescent="0.3">
      <c r="A305" s="13">
        <v>302</v>
      </c>
      <c r="B305" s="4" t="s">
        <v>700</v>
      </c>
      <c r="C305" s="39">
        <f t="shared" ca="1" si="21"/>
        <v>0</v>
      </c>
      <c r="D305" t="s">
        <v>39</v>
      </c>
      <c r="E305" t="s">
        <v>10</v>
      </c>
      <c r="F305" s="7" t="s">
        <v>78</v>
      </c>
      <c r="G305" s="6" t="s">
        <v>681</v>
      </c>
      <c r="H305" s="2" t="s">
        <v>681</v>
      </c>
      <c r="I305" s="1">
        <v>30</v>
      </c>
      <c r="J305" s="1">
        <v>10</v>
      </c>
      <c r="L305" s="45">
        <f t="shared" si="22"/>
        <v>45363</v>
      </c>
      <c r="M305" s="46">
        <f t="shared" si="25"/>
        <v>45363</v>
      </c>
      <c r="Q305" s="43">
        <f t="shared" si="23"/>
        <v>0</v>
      </c>
      <c r="R305" s="43">
        <f t="shared" ca="1" si="24"/>
        <v>0</v>
      </c>
      <c r="S305" s="22"/>
      <c r="T305" s="25">
        <v>45333</v>
      </c>
    </row>
    <row r="306" spans="1:20" x14ac:dyDescent="0.3">
      <c r="A306" s="13">
        <v>303</v>
      </c>
      <c r="B306" s="4" t="s">
        <v>700</v>
      </c>
      <c r="C306" s="39">
        <f t="shared" ca="1" si="21"/>
        <v>0</v>
      </c>
      <c r="D306" t="s">
        <v>39</v>
      </c>
      <c r="E306" t="s">
        <v>11</v>
      </c>
      <c r="F306" s="7" t="s">
        <v>78</v>
      </c>
      <c r="G306" s="6" t="s">
        <v>681</v>
      </c>
      <c r="H306" s="2" t="s">
        <v>681</v>
      </c>
      <c r="I306" s="1">
        <v>30</v>
      </c>
      <c r="J306" s="1">
        <v>10</v>
      </c>
      <c r="L306" s="45">
        <f t="shared" si="22"/>
        <v>45364</v>
      </c>
      <c r="M306" s="46">
        <f t="shared" si="25"/>
        <v>45364</v>
      </c>
      <c r="Q306" s="43">
        <f t="shared" si="23"/>
        <v>0</v>
      </c>
      <c r="R306" s="43">
        <f t="shared" ca="1" si="24"/>
        <v>0</v>
      </c>
      <c r="S306" s="22"/>
      <c r="T306" s="25">
        <v>45334</v>
      </c>
    </row>
    <row r="307" spans="1:20" x14ac:dyDescent="0.3">
      <c r="A307" s="13">
        <v>304</v>
      </c>
      <c r="B307" s="4" t="s">
        <v>700</v>
      </c>
      <c r="C307" s="39">
        <f t="shared" ca="1" si="21"/>
        <v>0</v>
      </c>
      <c r="D307" t="s">
        <v>39</v>
      </c>
      <c r="E307" t="s">
        <v>12</v>
      </c>
      <c r="F307" s="7" t="s">
        <v>78</v>
      </c>
      <c r="G307" s="6" t="s">
        <v>681</v>
      </c>
      <c r="H307" s="2" t="s">
        <v>681</v>
      </c>
      <c r="I307" s="1">
        <v>30</v>
      </c>
      <c r="J307" s="1">
        <v>10</v>
      </c>
      <c r="L307" s="45">
        <f t="shared" si="22"/>
        <v>45365</v>
      </c>
      <c r="M307" s="46">
        <f t="shared" si="25"/>
        <v>45365</v>
      </c>
      <c r="Q307" s="43">
        <f t="shared" si="23"/>
        <v>0</v>
      </c>
      <c r="R307" s="43">
        <f t="shared" ca="1" si="24"/>
        <v>0</v>
      </c>
      <c r="S307" s="22"/>
      <c r="T307" s="25">
        <v>45335</v>
      </c>
    </row>
    <row r="308" spans="1:20" x14ac:dyDescent="0.3">
      <c r="A308" s="13">
        <v>305</v>
      </c>
      <c r="B308" s="4" t="s">
        <v>700</v>
      </c>
      <c r="C308" s="39">
        <f t="shared" ca="1" si="21"/>
        <v>0</v>
      </c>
      <c r="D308" t="s">
        <v>40</v>
      </c>
      <c r="E308" t="s">
        <v>25</v>
      </c>
      <c r="F308" s="7" t="s">
        <v>78</v>
      </c>
      <c r="G308" s="6" t="s">
        <v>681</v>
      </c>
      <c r="H308" s="2" t="s">
        <v>681</v>
      </c>
      <c r="I308" s="1">
        <v>30</v>
      </c>
      <c r="J308" s="1">
        <v>5</v>
      </c>
      <c r="L308" s="45">
        <f t="shared" si="22"/>
        <v>45366</v>
      </c>
      <c r="M308" s="46">
        <f t="shared" si="25"/>
        <v>45366</v>
      </c>
      <c r="Q308" s="43">
        <f t="shared" si="23"/>
        <v>0</v>
      </c>
      <c r="R308" s="43">
        <f t="shared" ca="1" si="24"/>
        <v>0</v>
      </c>
      <c r="S308" s="22"/>
      <c r="T308" s="25">
        <v>45336</v>
      </c>
    </row>
    <row r="309" spans="1:20" x14ac:dyDescent="0.3">
      <c r="A309" s="13">
        <v>306</v>
      </c>
      <c r="B309" s="4" t="s">
        <v>700</v>
      </c>
      <c r="C309" s="39">
        <f t="shared" ca="1" si="21"/>
        <v>0</v>
      </c>
      <c r="D309" t="s">
        <v>40</v>
      </c>
      <c r="E309" t="s">
        <v>26</v>
      </c>
      <c r="F309" s="7" t="s">
        <v>78</v>
      </c>
      <c r="G309" s="6" t="s">
        <v>681</v>
      </c>
      <c r="H309" s="2" t="s">
        <v>681</v>
      </c>
      <c r="I309" s="1">
        <v>30</v>
      </c>
      <c r="J309" s="1">
        <v>5</v>
      </c>
      <c r="L309" s="45">
        <f t="shared" si="22"/>
        <v>45367</v>
      </c>
      <c r="M309" s="46">
        <f t="shared" si="25"/>
        <v>45367</v>
      </c>
      <c r="Q309" s="43">
        <f t="shared" si="23"/>
        <v>0</v>
      </c>
      <c r="R309" s="43">
        <f t="shared" ca="1" si="24"/>
        <v>0</v>
      </c>
      <c r="S309" s="22"/>
      <c r="T309" s="25">
        <v>45337</v>
      </c>
    </row>
    <row r="310" spans="1:20" x14ac:dyDescent="0.3">
      <c r="A310" s="13">
        <v>307</v>
      </c>
      <c r="B310" s="4" t="s">
        <v>700</v>
      </c>
      <c r="C310" s="39">
        <f t="shared" ca="1" si="21"/>
        <v>0</v>
      </c>
      <c r="D310" t="s">
        <v>41</v>
      </c>
      <c r="E310" t="s">
        <v>25</v>
      </c>
      <c r="F310" s="7" t="s">
        <v>78</v>
      </c>
      <c r="G310" s="6" t="s">
        <v>681</v>
      </c>
      <c r="H310" s="2" t="s">
        <v>681</v>
      </c>
      <c r="I310" s="1">
        <v>30</v>
      </c>
      <c r="J310" s="1">
        <v>5</v>
      </c>
      <c r="L310" s="45">
        <f t="shared" si="22"/>
        <v>45368</v>
      </c>
      <c r="M310" s="46">
        <f t="shared" si="25"/>
        <v>45368</v>
      </c>
      <c r="Q310" s="43">
        <f t="shared" si="23"/>
        <v>0</v>
      </c>
      <c r="R310" s="43">
        <f t="shared" ca="1" si="24"/>
        <v>0</v>
      </c>
      <c r="S310" s="22"/>
      <c r="T310" s="25">
        <v>45338</v>
      </c>
    </row>
    <row r="311" spans="1:20" x14ac:dyDescent="0.3">
      <c r="A311" s="13">
        <v>308</v>
      </c>
      <c r="B311" s="4" t="s">
        <v>700</v>
      </c>
      <c r="C311" s="39">
        <f t="shared" ca="1" si="21"/>
        <v>0</v>
      </c>
      <c r="D311" t="s">
        <v>41</v>
      </c>
      <c r="E311" t="s">
        <v>26</v>
      </c>
      <c r="F311" s="7" t="s">
        <v>78</v>
      </c>
      <c r="G311" s="6" t="s">
        <v>681</v>
      </c>
      <c r="H311" s="2" t="s">
        <v>681</v>
      </c>
      <c r="I311" s="1">
        <v>30</v>
      </c>
      <c r="J311" s="1">
        <v>5</v>
      </c>
      <c r="L311" s="45">
        <f t="shared" si="22"/>
        <v>45369</v>
      </c>
      <c r="M311" s="46">
        <f t="shared" si="25"/>
        <v>45369</v>
      </c>
      <c r="Q311" s="43">
        <f t="shared" si="23"/>
        <v>0</v>
      </c>
      <c r="R311" s="43">
        <f t="shared" ca="1" si="24"/>
        <v>0</v>
      </c>
      <c r="S311" s="22"/>
      <c r="T311" s="25">
        <v>45339</v>
      </c>
    </row>
    <row r="312" spans="1:20" x14ac:dyDescent="0.3">
      <c r="A312" s="13">
        <v>309</v>
      </c>
      <c r="B312" s="4" t="s">
        <v>700</v>
      </c>
      <c r="C312" s="39">
        <f t="shared" ca="1" si="21"/>
        <v>0</v>
      </c>
      <c r="D312" t="s">
        <v>42</v>
      </c>
      <c r="E312" t="s">
        <v>27</v>
      </c>
      <c r="F312" s="7" t="s">
        <v>78</v>
      </c>
      <c r="G312" s="6" t="s">
        <v>681</v>
      </c>
      <c r="H312" s="2" t="s">
        <v>681</v>
      </c>
      <c r="I312" s="1">
        <v>14</v>
      </c>
      <c r="J312" s="1">
        <v>10</v>
      </c>
      <c r="L312" s="45">
        <f t="shared" si="22"/>
        <v>45354</v>
      </c>
      <c r="M312" s="46">
        <f t="shared" si="25"/>
        <v>45354</v>
      </c>
      <c r="Q312" s="43">
        <f t="shared" si="23"/>
        <v>0</v>
      </c>
      <c r="R312" s="43">
        <f t="shared" ca="1" si="24"/>
        <v>0</v>
      </c>
      <c r="S312" s="22"/>
      <c r="T312" s="25">
        <v>45340</v>
      </c>
    </row>
    <row r="313" spans="1:20" x14ac:dyDescent="0.3">
      <c r="A313" s="13">
        <v>310</v>
      </c>
      <c r="B313" s="4" t="s">
        <v>700</v>
      </c>
      <c r="C313" s="39">
        <f t="shared" ca="1" si="21"/>
        <v>0</v>
      </c>
      <c r="D313" t="s">
        <v>108</v>
      </c>
      <c r="E313" t="s">
        <v>143</v>
      </c>
      <c r="F313" s="7" t="s">
        <v>78</v>
      </c>
      <c r="G313" s="6" t="s">
        <v>681</v>
      </c>
      <c r="H313" s="2" t="s">
        <v>681</v>
      </c>
      <c r="I313" s="1">
        <v>30</v>
      </c>
      <c r="J313" s="1">
        <v>10</v>
      </c>
      <c r="L313" s="45">
        <f t="shared" si="22"/>
        <v>45371</v>
      </c>
      <c r="M313" s="46">
        <f t="shared" si="25"/>
        <v>45371</v>
      </c>
      <c r="Q313" s="43">
        <f t="shared" si="23"/>
        <v>0</v>
      </c>
      <c r="R313" s="43">
        <f t="shared" ca="1" si="24"/>
        <v>0</v>
      </c>
      <c r="S313" s="22"/>
      <c r="T313" s="25">
        <v>45341</v>
      </c>
    </row>
    <row r="314" spans="1:20" x14ac:dyDescent="0.3">
      <c r="A314" s="13">
        <v>311</v>
      </c>
      <c r="B314" s="4" t="s">
        <v>700</v>
      </c>
      <c r="C314" s="39">
        <f t="shared" ca="1" si="21"/>
        <v>0</v>
      </c>
      <c r="D314" t="s">
        <v>108</v>
      </c>
      <c r="E314" t="s">
        <v>333</v>
      </c>
      <c r="F314" s="7" t="s">
        <v>78</v>
      </c>
      <c r="G314" s="6" t="s">
        <v>681</v>
      </c>
      <c r="H314" s="2" t="s">
        <v>681</v>
      </c>
      <c r="I314" s="1">
        <v>30</v>
      </c>
      <c r="J314" s="1">
        <v>10</v>
      </c>
      <c r="L314" s="45">
        <f t="shared" si="22"/>
        <v>45372</v>
      </c>
      <c r="M314" s="46">
        <f t="shared" si="25"/>
        <v>45372</v>
      </c>
      <c r="Q314" s="43">
        <f t="shared" si="23"/>
        <v>0</v>
      </c>
      <c r="R314" s="43">
        <f t="shared" ca="1" si="24"/>
        <v>0</v>
      </c>
      <c r="S314" s="22"/>
      <c r="T314" s="25">
        <v>45342</v>
      </c>
    </row>
    <row r="315" spans="1:20" x14ac:dyDescent="0.3">
      <c r="A315" s="13">
        <v>312</v>
      </c>
      <c r="B315" s="4" t="s">
        <v>700</v>
      </c>
      <c r="C315" s="39">
        <f t="shared" ca="1" si="21"/>
        <v>0</v>
      </c>
      <c r="D315" t="s">
        <v>108</v>
      </c>
      <c r="E315" t="s">
        <v>144</v>
      </c>
      <c r="F315" s="7" t="s">
        <v>78</v>
      </c>
      <c r="G315" s="6" t="s">
        <v>681</v>
      </c>
      <c r="H315" s="2" t="s">
        <v>681</v>
      </c>
      <c r="I315" s="1">
        <v>30</v>
      </c>
      <c r="J315" s="1">
        <v>10</v>
      </c>
      <c r="L315" s="45">
        <f t="shared" si="22"/>
        <v>45373</v>
      </c>
      <c r="M315" s="46">
        <f t="shared" si="25"/>
        <v>45373</v>
      </c>
      <c r="Q315" s="43">
        <f t="shared" si="23"/>
        <v>0</v>
      </c>
      <c r="R315" s="43">
        <f t="shared" ca="1" si="24"/>
        <v>0</v>
      </c>
      <c r="S315" s="22"/>
      <c r="T315" s="25">
        <v>45343</v>
      </c>
    </row>
    <row r="316" spans="1:20" x14ac:dyDescent="0.3">
      <c r="A316" s="13">
        <v>313</v>
      </c>
      <c r="B316" s="4" t="s">
        <v>700</v>
      </c>
      <c r="C316" s="39">
        <f t="shared" ca="1" si="21"/>
        <v>1</v>
      </c>
      <c r="D316" t="s">
        <v>108</v>
      </c>
      <c r="E316" t="s">
        <v>145</v>
      </c>
      <c r="F316" s="7" t="s">
        <v>78</v>
      </c>
      <c r="G316" s="6" t="s">
        <v>681</v>
      </c>
      <c r="H316" s="2" t="s">
        <v>681</v>
      </c>
      <c r="I316" s="1">
        <v>30</v>
      </c>
      <c r="J316" s="1">
        <v>10</v>
      </c>
      <c r="L316" s="45">
        <f t="shared" si="22"/>
        <v>45084</v>
      </c>
      <c r="M316" s="46">
        <f t="shared" si="25"/>
        <v>45374</v>
      </c>
      <c r="N316" s="50">
        <v>45084</v>
      </c>
      <c r="Q316" s="43">
        <f t="shared" si="23"/>
        <v>0</v>
      </c>
      <c r="R316" s="43">
        <f t="shared" ca="1" si="24"/>
        <v>0</v>
      </c>
      <c r="S316" s="22"/>
      <c r="T316" s="25">
        <v>45344</v>
      </c>
    </row>
    <row r="317" spans="1:20" x14ac:dyDescent="0.3">
      <c r="A317" s="13">
        <v>314</v>
      </c>
      <c r="B317" s="4" t="s">
        <v>701</v>
      </c>
      <c r="C317" s="39">
        <f t="shared" ca="1" si="21"/>
        <v>0</v>
      </c>
      <c r="D317" t="s">
        <v>109</v>
      </c>
      <c r="E317" t="s">
        <v>10</v>
      </c>
      <c r="F317" s="7" t="s">
        <v>78</v>
      </c>
      <c r="G317" s="6" t="s">
        <v>681</v>
      </c>
      <c r="H317" s="2" t="s">
        <v>681</v>
      </c>
      <c r="I317" s="1">
        <v>30</v>
      </c>
      <c r="J317" s="1">
        <v>10</v>
      </c>
      <c r="L317" s="45">
        <f t="shared" si="22"/>
        <v>45375</v>
      </c>
      <c r="M317" s="46">
        <f t="shared" si="25"/>
        <v>45375</v>
      </c>
      <c r="Q317" s="43">
        <f t="shared" si="23"/>
        <v>0</v>
      </c>
      <c r="R317" s="43">
        <f t="shared" ca="1" si="24"/>
        <v>0</v>
      </c>
      <c r="S317" s="22"/>
      <c r="T317" s="25">
        <v>45345</v>
      </c>
    </row>
    <row r="318" spans="1:20" x14ac:dyDescent="0.3">
      <c r="A318" s="13">
        <v>315</v>
      </c>
      <c r="B318" s="4" t="s">
        <v>701</v>
      </c>
      <c r="C318" s="39">
        <f t="shared" ca="1" si="21"/>
        <v>0</v>
      </c>
      <c r="D318" t="s">
        <v>109</v>
      </c>
      <c r="E318" t="s">
        <v>11</v>
      </c>
      <c r="F318" s="7" t="s">
        <v>78</v>
      </c>
      <c r="G318" s="6" t="s">
        <v>681</v>
      </c>
      <c r="H318" s="2" t="s">
        <v>681</v>
      </c>
      <c r="I318" s="1">
        <v>30</v>
      </c>
      <c r="J318" s="1">
        <v>10</v>
      </c>
      <c r="L318" s="45">
        <f t="shared" si="22"/>
        <v>45376</v>
      </c>
      <c r="M318" s="46">
        <f t="shared" si="25"/>
        <v>45376</v>
      </c>
      <c r="Q318" s="43">
        <f t="shared" si="23"/>
        <v>0</v>
      </c>
      <c r="R318" s="43">
        <f t="shared" ca="1" si="24"/>
        <v>0</v>
      </c>
      <c r="S318" s="22"/>
      <c r="T318" s="25">
        <v>45346</v>
      </c>
    </row>
    <row r="319" spans="1:20" x14ac:dyDescent="0.3">
      <c r="A319" s="13">
        <v>316</v>
      </c>
      <c r="B319" s="4" t="s">
        <v>701</v>
      </c>
      <c r="C319" s="39">
        <f t="shared" ca="1" si="21"/>
        <v>0</v>
      </c>
      <c r="D319" t="s">
        <v>109</v>
      </c>
      <c r="E319" t="s">
        <v>12</v>
      </c>
      <c r="F319" s="7" t="s">
        <v>78</v>
      </c>
      <c r="G319" s="6" t="s">
        <v>681</v>
      </c>
      <c r="H319" s="2" t="s">
        <v>681</v>
      </c>
      <c r="I319" s="1">
        <v>30</v>
      </c>
      <c r="J319" s="1">
        <v>10</v>
      </c>
      <c r="L319" s="45">
        <f t="shared" si="22"/>
        <v>45377</v>
      </c>
      <c r="M319" s="46">
        <f t="shared" si="25"/>
        <v>45377</v>
      </c>
      <c r="Q319" s="43">
        <f t="shared" si="23"/>
        <v>0</v>
      </c>
      <c r="R319" s="43">
        <f t="shared" ca="1" si="24"/>
        <v>0</v>
      </c>
      <c r="S319" s="22"/>
      <c r="T319" s="25">
        <v>45347</v>
      </c>
    </row>
    <row r="320" spans="1:20" x14ac:dyDescent="0.3">
      <c r="A320" s="13">
        <v>317</v>
      </c>
      <c r="B320" s="4" t="s">
        <v>701</v>
      </c>
      <c r="C320" s="39">
        <f t="shared" ca="1" si="21"/>
        <v>0</v>
      </c>
      <c r="D320" t="s">
        <v>110</v>
      </c>
      <c r="E320" t="s">
        <v>10</v>
      </c>
      <c r="F320" s="7" t="s">
        <v>78</v>
      </c>
      <c r="G320" s="6" t="s">
        <v>681</v>
      </c>
      <c r="H320" s="2" t="s">
        <v>681</v>
      </c>
      <c r="I320" s="1">
        <v>30</v>
      </c>
      <c r="J320" s="1">
        <v>10</v>
      </c>
      <c r="L320" s="45">
        <f t="shared" si="22"/>
        <v>45378</v>
      </c>
      <c r="M320" s="46">
        <f t="shared" si="25"/>
        <v>45378</v>
      </c>
      <c r="Q320" s="43">
        <f t="shared" si="23"/>
        <v>0</v>
      </c>
      <c r="R320" s="43">
        <f t="shared" ca="1" si="24"/>
        <v>0</v>
      </c>
      <c r="S320" s="22"/>
      <c r="T320" s="25">
        <v>45348</v>
      </c>
    </row>
    <row r="321" spans="1:20" x14ac:dyDescent="0.3">
      <c r="A321" s="13">
        <v>318</v>
      </c>
      <c r="B321" s="4" t="s">
        <v>701</v>
      </c>
      <c r="C321" s="39">
        <f t="shared" ca="1" si="21"/>
        <v>0</v>
      </c>
      <c r="D321" t="s">
        <v>110</v>
      </c>
      <c r="E321" t="s">
        <v>11</v>
      </c>
      <c r="F321" s="7" t="s">
        <v>78</v>
      </c>
      <c r="G321" s="6" t="s">
        <v>681</v>
      </c>
      <c r="H321" s="2" t="s">
        <v>681</v>
      </c>
      <c r="I321" s="1">
        <v>30</v>
      </c>
      <c r="J321" s="1">
        <v>10</v>
      </c>
      <c r="L321" s="45">
        <f t="shared" si="22"/>
        <v>45379</v>
      </c>
      <c r="M321" s="46">
        <f t="shared" si="25"/>
        <v>45379</v>
      </c>
      <c r="Q321" s="43">
        <f t="shared" si="23"/>
        <v>0</v>
      </c>
      <c r="R321" s="43">
        <f t="shared" ca="1" si="24"/>
        <v>0</v>
      </c>
      <c r="S321" s="22"/>
      <c r="T321" s="25">
        <v>45349</v>
      </c>
    </row>
    <row r="322" spans="1:20" x14ac:dyDescent="0.3">
      <c r="A322" s="13">
        <v>319</v>
      </c>
      <c r="B322" s="4" t="s">
        <v>701</v>
      </c>
      <c r="C322" s="39">
        <f t="shared" ca="1" si="21"/>
        <v>0</v>
      </c>
      <c r="D322" t="s">
        <v>110</v>
      </c>
      <c r="E322" t="s">
        <v>12</v>
      </c>
      <c r="F322" s="7" t="s">
        <v>78</v>
      </c>
      <c r="G322" s="6" t="s">
        <v>681</v>
      </c>
      <c r="H322" s="2" t="s">
        <v>681</v>
      </c>
      <c r="I322" s="1">
        <v>30</v>
      </c>
      <c r="J322" s="1">
        <v>10</v>
      </c>
      <c r="L322" s="45">
        <f t="shared" si="22"/>
        <v>45380</v>
      </c>
      <c r="M322" s="46">
        <f t="shared" si="25"/>
        <v>45380</v>
      </c>
      <c r="Q322" s="43">
        <f t="shared" si="23"/>
        <v>0</v>
      </c>
      <c r="R322" s="43">
        <f t="shared" ca="1" si="24"/>
        <v>0</v>
      </c>
      <c r="S322" s="22"/>
      <c r="T322" s="25">
        <v>45350</v>
      </c>
    </row>
    <row r="323" spans="1:20" x14ac:dyDescent="0.3">
      <c r="A323" s="13">
        <v>320</v>
      </c>
      <c r="B323" s="4" t="s">
        <v>701</v>
      </c>
      <c r="C323" s="39">
        <f t="shared" ca="1" si="21"/>
        <v>1</v>
      </c>
      <c r="D323" t="s">
        <v>37</v>
      </c>
      <c r="E323" t="s">
        <v>334</v>
      </c>
      <c r="F323" s="7" t="s">
        <v>78</v>
      </c>
      <c r="G323" s="6" t="s">
        <v>681</v>
      </c>
      <c r="H323" s="2" t="s">
        <v>681</v>
      </c>
      <c r="I323" s="1">
        <v>30</v>
      </c>
      <c r="J323" s="1">
        <v>5</v>
      </c>
      <c r="L323" s="45">
        <f t="shared" si="22"/>
        <v>45084</v>
      </c>
      <c r="M323" s="46">
        <f t="shared" si="25"/>
        <v>45381</v>
      </c>
      <c r="N323" s="50">
        <v>45084</v>
      </c>
      <c r="Q323" s="43">
        <f t="shared" si="23"/>
        <v>0</v>
      </c>
      <c r="R323" s="43">
        <f t="shared" ca="1" si="24"/>
        <v>0</v>
      </c>
      <c r="S323" s="22"/>
      <c r="T323" s="25">
        <v>45351</v>
      </c>
    </row>
    <row r="324" spans="1:20" x14ac:dyDescent="0.3">
      <c r="A324" s="13">
        <v>321</v>
      </c>
      <c r="B324" s="4" t="s">
        <v>701</v>
      </c>
      <c r="C324" s="39">
        <f t="shared" ca="1" si="21"/>
        <v>0</v>
      </c>
      <c r="D324" t="s">
        <v>37</v>
      </c>
      <c r="E324" t="s">
        <v>335</v>
      </c>
      <c r="F324" s="7" t="s">
        <v>78</v>
      </c>
      <c r="G324" s="6" t="s">
        <v>681</v>
      </c>
      <c r="H324" s="2" t="s">
        <v>681</v>
      </c>
      <c r="I324" s="1">
        <v>30</v>
      </c>
      <c r="J324" s="1">
        <v>5</v>
      </c>
      <c r="L324" s="45">
        <f t="shared" si="22"/>
        <v>45382</v>
      </c>
      <c r="M324" s="46">
        <f t="shared" si="25"/>
        <v>45382</v>
      </c>
      <c r="Q324" s="43">
        <f t="shared" si="23"/>
        <v>0</v>
      </c>
      <c r="R324" s="43">
        <f t="shared" ca="1" si="24"/>
        <v>0</v>
      </c>
      <c r="S324" s="22"/>
      <c r="T324" s="25">
        <v>45352</v>
      </c>
    </row>
    <row r="325" spans="1:20" x14ac:dyDescent="0.3">
      <c r="A325" s="13">
        <v>322</v>
      </c>
      <c r="B325" s="4" t="s">
        <v>701</v>
      </c>
      <c r="C325" s="39">
        <f t="shared" ref="C325:C388" ca="1" si="26">IF(L325&lt;=$A$2,1,0)</f>
        <v>0</v>
      </c>
      <c r="D325" t="s">
        <v>37</v>
      </c>
      <c r="E325" t="s">
        <v>148</v>
      </c>
      <c r="F325" s="7" t="s">
        <v>78</v>
      </c>
      <c r="G325" s="6" t="s">
        <v>681</v>
      </c>
      <c r="H325" s="2" t="s">
        <v>681</v>
      </c>
      <c r="I325" s="1">
        <v>30</v>
      </c>
      <c r="J325" s="1">
        <v>5</v>
      </c>
      <c r="L325" s="45">
        <f t="shared" ref="L325:L388" si="27">IF(N325="",M325,N325)</f>
        <v>45383</v>
      </c>
      <c r="M325" s="46">
        <f t="shared" si="25"/>
        <v>45383</v>
      </c>
      <c r="Q325" s="43">
        <f t="shared" ref="Q325:Q388" si="28">IF(O325&lt;&gt;0,1,0)</f>
        <v>0</v>
      </c>
      <c r="R325" s="43">
        <f t="shared" ref="R325:R388" ca="1" si="29">IF(AND(L325&lt;($A$2+7), L325&gt;($A$2+6)),1,0)</f>
        <v>0</v>
      </c>
      <c r="S325" s="22"/>
      <c r="T325" s="25">
        <v>45353</v>
      </c>
    </row>
    <row r="326" spans="1:20" x14ac:dyDescent="0.3">
      <c r="A326" s="13">
        <v>323</v>
      </c>
      <c r="B326" s="4" t="s">
        <v>701</v>
      </c>
      <c r="C326" s="39">
        <f t="shared" ca="1" si="26"/>
        <v>0</v>
      </c>
      <c r="D326" t="s">
        <v>37</v>
      </c>
      <c r="E326" t="s">
        <v>336</v>
      </c>
      <c r="F326" s="7" t="s">
        <v>78</v>
      </c>
      <c r="G326" s="6" t="s">
        <v>681</v>
      </c>
      <c r="H326" s="2" t="s">
        <v>681</v>
      </c>
      <c r="I326" s="1">
        <v>30</v>
      </c>
      <c r="J326" s="1">
        <v>5</v>
      </c>
      <c r="L326" s="45">
        <f t="shared" si="27"/>
        <v>45384</v>
      </c>
      <c r="M326" s="46">
        <f t="shared" si="25"/>
        <v>45384</v>
      </c>
      <c r="Q326" s="43">
        <f t="shared" si="28"/>
        <v>0</v>
      </c>
      <c r="R326" s="43">
        <f t="shared" ca="1" si="29"/>
        <v>0</v>
      </c>
      <c r="S326" s="22"/>
      <c r="T326" s="25">
        <v>45354</v>
      </c>
    </row>
    <row r="327" spans="1:20" x14ac:dyDescent="0.3">
      <c r="A327" s="13">
        <v>324</v>
      </c>
      <c r="B327" s="4" t="s">
        <v>701</v>
      </c>
      <c r="C327" s="39">
        <f t="shared" ca="1" si="26"/>
        <v>0</v>
      </c>
      <c r="D327" t="s">
        <v>263</v>
      </c>
      <c r="E327" t="s">
        <v>337</v>
      </c>
      <c r="F327" s="7" t="s">
        <v>78</v>
      </c>
      <c r="G327" s="6" t="s">
        <v>681</v>
      </c>
      <c r="H327" s="2" t="s">
        <v>681</v>
      </c>
      <c r="I327" s="1">
        <v>30</v>
      </c>
      <c r="J327" s="1">
        <v>10</v>
      </c>
      <c r="L327" s="45">
        <f t="shared" si="27"/>
        <v>45385</v>
      </c>
      <c r="M327" s="46">
        <f t="shared" si="25"/>
        <v>45385</v>
      </c>
      <c r="Q327" s="43">
        <f t="shared" si="28"/>
        <v>0</v>
      </c>
      <c r="R327" s="43">
        <f t="shared" ca="1" si="29"/>
        <v>0</v>
      </c>
      <c r="S327" s="22"/>
      <c r="T327" s="25">
        <v>45355</v>
      </c>
    </row>
    <row r="328" spans="1:20" x14ac:dyDescent="0.3">
      <c r="A328" s="13">
        <v>325</v>
      </c>
      <c r="B328" s="4" t="s">
        <v>701</v>
      </c>
      <c r="C328" s="39">
        <f t="shared" ca="1" si="26"/>
        <v>0</v>
      </c>
      <c r="D328" t="s">
        <v>263</v>
      </c>
      <c r="E328" t="s">
        <v>152</v>
      </c>
      <c r="F328" s="7" t="s">
        <v>78</v>
      </c>
      <c r="G328" s="6" t="s">
        <v>681</v>
      </c>
      <c r="H328" s="2" t="s">
        <v>681</v>
      </c>
      <c r="I328" s="1">
        <v>30</v>
      </c>
      <c r="J328" s="1">
        <v>10</v>
      </c>
      <c r="L328" s="45">
        <f t="shared" si="27"/>
        <v>45386</v>
      </c>
      <c r="M328" s="46">
        <f t="shared" si="25"/>
        <v>45386</v>
      </c>
      <c r="Q328" s="43">
        <f t="shared" si="28"/>
        <v>0</v>
      </c>
      <c r="R328" s="43">
        <f t="shared" ca="1" si="29"/>
        <v>0</v>
      </c>
      <c r="S328" s="22"/>
      <c r="T328" s="25">
        <v>45356</v>
      </c>
    </row>
    <row r="329" spans="1:20" x14ac:dyDescent="0.3">
      <c r="A329" s="13">
        <v>326</v>
      </c>
      <c r="B329" s="4" t="s">
        <v>701</v>
      </c>
      <c r="C329" s="39">
        <f t="shared" ca="1" si="26"/>
        <v>0</v>
      </c>
      <c r="D329" t="s">
        <v>263</v>
      </c>
      <c r="E329" t="s">
        <v>143</v>
      </c>
      <c r="F329" s="7" t="s">
        <v>78</v>
      </c>
      <c r="G329" s="6" t="s">
        <v>681</v>
      </c>
      <c r="H329" s="2" t="s">
        <v>681</v>
      </c>
      <c r="I329" s="1">
        <v>30</v>
      </c>
      <c r="J329" s="1">
        <v>10</v>
      </c>
      <c r="L329" s="45">
        <f t="shared" si="27"/>
        <v>45387</v>
      </c>
      <c r="M329" s="46">
        <f t="shared" si="25"/>
        <v>45387</v>
      </c>
      <c r="Q329" s="43">
        <f t="shared" si="28"/>
        <v>0</v>
      </c>
      <c r="R329" s="43">
        <f t="shared" ca="1" si="29"/>
        <v>0</v>
      </c>
      <c r="S329" s="22"/>
      <c r="T329" s="25">
        <v>45357</v>
      </c>
    </row>
    <row r="330" spans="1:20" x14ac:dyDescent="0.3">
      <c r="A330" s="13">
        <v>327</v>
      </c>
      <c r="B330" s="4" t="s">
        <v>701</v>
      </c>
      <c r="C330" s="39">
        <f t="shared" ca="1" si="26"/>
        <v>0</v>
      </c>
      <c r="D330" t="s">
        <v>263</v>
      </c>
      <c r="E330" t="s">
        <v>333</v>
      </c>
      <c r="F330" s="7" t="s">
        <v>78</v>
      </c>
      <c r="G330" s="6" t="s">
        <v>681</v>
      </c>
      <c r="H330" s="2" t="s">
        <v>681</v>
      </c>
      <c r="I330" s="1">
        <v>30</v>
      </c>
      <c r="J330" s="1">
        <v>10</v>
      </c>
      <c r="L330" s="45">
        <f t="shared" si="27"/>
        <v>45388</v>
      </c>
      <c r="M330" s="46">
        <f t="shared" si="25"/>
        <v>45388</v>
      </c>
      <c r="Q330" s="43">
        <f t="shared" si="28"/>
        <v>0</v>
      </c>
      <c r="R330" s="43">
        <f t="shared" ca="1" si="29"/>
        <v>0</v>
      </c>
      <c r="S330" s="22"/>
      <c r="T330" s="25">
        <v>45358</v>
      </c>
    </row>
    <row r="331" spans="1:20" x14ac:dyDescent="0.3">
      <c r="A331" s="13">
        <v>328</v>
      </c>
      <c r="B331" s="4" t="s">
        <v>701</v>
      </c>
      <c r="C331" s="39">
        <f t="shared" ca="1" si="26"/>
        <v>0</v>
      </c>
      <c r="D331" t="s">
        <v>263</v>
      </c>
      <c r="E331" t="s">
        <v>338</v>
      </c>
      <c r="F331" s="7" t="s">
        <v>78</v>
      </c>
      <c r="G331" s="6" t="s">
        <v>681</v>
      </c>
      <c r="H331" s="2" t="s">
        <v>681</v>
      </c>
      <c r="I331" s="1">
        <v>30</v>
      </c>
      <c r="J331" s="1">
        <v>10</v>
      </c>
      <c r="L331" s="45">
        <f t="shared" si="27"/>
        <v>45389</v>
      </c>
      <c r="M331" s="46">
        <f t="shared" si="25"/>
        <v>45389</v>
      </c>
      <c r="Q331" s="43">
        <f t="shared" si="28"/>
        <v>0</v>
      </c>
      <c r="R331" s="43">
        <f t="shared" ca="1" si="29"/>
        <v>0</v>
      </c>
      <c r="S331" s="22"/>
      <c r="T331" s="25">
        <v>45359</v>
      </c>
    </row>
    <row r="332" spans="1:20" x14ac:dyDescent="0.3">
      <c r="A332" s="13">
        <v>329</v>
      </c>
      <c r="B332" s="4" t="s">
        <v>701</v>
      </c>
      <c r="C332" s="39">
        <f t="shared" ca="1" si="26"/>
        <v>0</v>
      </c>
      <c r="D332" t="s">
        <v>264</v>
      </c>
      <c r="E332" t="s">
        <v>339</v>
      </c>
      <c r="F332" s="7" t="s">
        <v>78</v>
      </c>
      <c r="G332" s="6" t="s">
        <v>681</v>
      </c>
      <c r="H332" s="2" t="s">
        <v>681</v>
      </c>
      <c r="I332" s="1">
        <v>7</v>
      </c>
      <c r="J332" s="1">
        <v>15</v>
      </c>
      <c r="L332" s="45">
        <f t="shared" si="27"/>
        <v>45367</v>
      </c>
      <c r="M332" s="46">
        <f t="shared" si="25"/>
        <v>45367</v>
      </c>
      <c r="Q332" s="43">
        <f t="shared" si="28"/>
        <v>0</v>
      </c>
      <c r="R332" s="43">
        <f t="shared" ca="1" si="29"/>
        <v>0</v>
      </c>
      <c r="S332" s="22"/>
      <c r="T332" s="25">
        <v>45360</v>
      </c>
    </row>
    <row r="333" spans="1:20" x14ac:dyDescent="0.3">
      <c r="A333" s="13">
        <v>330</v>
      </c>
      <c r="B333" s="4" t="s">
        <v>701</v>
      </c>
      <c r="C333" s="39">
        <f t="shared" ca="1" si="26"/>
        <v>1</v>
      </c>
      <c r="D333" t="s">
        <v>264</v>
      </c>
      <c r="E333" t="s">
        <v>148</v>
      </c>
      <c r="F333" s="7" t="s">
        <v>78</v>
      </c>
      <c r="G333" s="6" t="s">
        <v>681</v>
      </c>
      <c r="H333" s="2" t="s">
        <v>681</v>
      </c>
      <c r="I333" s="1">
        <v>7</v>
      </c>
      <c r="J333" s="1">
        <v>15</v>
      </c>
      <c r="L333" s="45">
        <f t="shared" si="27"/>
        <v>45084</v>
      </c>
      <c r="M333" s="46">
        <f t="shared" si="25"/>
        <v>45368</v>
      </c>
      <c r="N333" s="50">
        <v>45084</v>
      </c>
      <c r="Q333" s="43">
        <f t="shared" si="28"/>
        <v>0</v>
      </c>
      <c r="R333" s="43">
        <f t="shared" ca="1" si="29"/>
        <v>0</v>
      </c>
      <c r="S333" s="22">
        <v>1</v>
      </c>
      <c r="T333" s="25">
        <v>45361</v>
      </c>
    </row>
    <row r="334" spans="1:20" x14ac:dyDescent="0.3">
      <c r="A334" s="13">
        <v>331</v>
      </c>
      <c r="B334" s="4" t="s">
        <v>701</v>
      </c>
      <c r="C334" s="39">
        <f t="shared" ca="1" si="26"/>
        <v>0</v>
      </c>
      <c r="D334" t="s">
        <v>265</v>
      </c>
      <c r="E334" t="s">
        <v>25</v>
      </c>
      <c r="F334" s="7" t="s">
        <v>78</v>
      </c>
      <c r="G334" s="6" t="s">
        <v>681</v>
      </c>
      <c r="H334" s="2" t="s">
        <v>681</v>
      </c>
      <c r="I334" s="1">
        <v>30</v>
      </c>
      <c r="J334" s="1">
        <v>5</v>
      </c>
      <c r="L334" s="45">
        <f t="shared" si="27"/>
        <v>45392</v>
      </c>
      <c r="M334" s="46">
        <f t="shared" si="25"/>
        <v>45392</v>
      </c>
      <c r="Q334" s="43">
        <f t="shared" si="28"/>
        <v>0</v>
      </c>
      <c r="R334" s="43">
        <f t="shared" ca="1" si="29"/>
        <v>0</v>
      </c>
      <c r="S334" s="22"/>
      <c r="T334" s="25">
        <v>45362</v>
      </c>
    </row>
    <row r="335" spans="1:20" x14ac:dyDescent="0.3">
      <c r="A335" s="13">
        <v>332</v>
      </c>
      <c r="B335" s="4" t="s">
        <v>701</v>
      </c>
      <c r="C335" s="39">
        <f t="shared" ca="1" si="26"/>
        <v>0</v>
      </c>
      <c r="D335" t="s">
        <v>265</v>
      </c>
      <c r="E335" t="s">
        <v>26</v>
      </c>
      <c r="F335" s="7" t="s">
        <v>78</v>
      </c>
      <c r="G335" s="6" t="s">
        <v>681</v>
      </c>
      <c r="H335" s="2" t="s">
        <v>681</v>
      </c>
      <c r="I335" s="1">
        <v>30</v>
      </c>
      <c r="J335" s="1">
        <v>5</v>
      </c>
      <c r="L335" s="45">
        <f t="shared" si="27"/>
        <v>45393</v>
      </c>
      <c r="M335" s="46">
        <f t="shared" si="25"/>
        <v>45393</v>
      </c>
      <c r="Q335" s="43">
        <f t="shared" si="28"/>
        <v>0</v>
      </c>
      <c r="R335" s="43">
        <f t="shared" ca="1" si="29"/>
        <v>0</v>
      </c>
      <c r="S335" s="22"/>
      <c r="T335" s="25">
        <v>45363</v>
      </c>
    </row>
    <row r="336" spans="1:20" x14ac:dyDescent="0.3">
      <c r="A336" s="13">
        <v>333</v>
      </c>
      <c r="B336" s="4" t="s">
        <v>701</v>
      </c>
      <c r="C336" s="39">
        <f t="shared" ca="1" si="26"/>
        <v>0</v>
      </c>
      <c r="D336" t="s">
        <v>266</v>
      </c>
      <c r="E336" t="s">
        <v>25</v>
      </c>
      <c r="F336" s="7" t="s">
        <v>78</v>
      </c>
      <c r="G336" s="6" t="s">
        <v>681</v>
      </c>
      <c r="H336" s="2" t="s">
        <v>681</v>
      </c>
      <c r="I336" s="1">
        <v>30</v>
      </c>
      <c r="J336" s="1">
        <v>5</v>
      </c>
      <c r="L336" s="45">
        <f t="shared" si="27"/>
        <v>45394</v>
      </c>
      <c r="M336" s="46">
        <f t="shared" si="25"/>
        <v>45394</v>
      </c>
      <c r="Q336" s="43">
        <f t="shared" si="28"/>
        <v>0</v>
      </c>
      <c r="R336" s="43">
        <f t="shared" ca="1" si="29"/>
        <v>0</v>
      </c>
      <c r="S336" s="22"/>
      <c r="T336" s="25">
        <v>45364</v>
      </c>
    </row>
    <row r="337" spans="1:20" x14ac:dyDescent="0.3">
      <c r="A337" s="13">
        <v>334</v>
      </c>
      <c r="B337" s="4" t="s">
        <v>701</v>
      </c>
      <c r="C337" s="39">
        <f t="shared" ca="1" si="26"/>
        <v>0</v>
      </c>
      <c r="D337" t="s">
        <v>266</v>
      </c>
      <c r="E337" t="s">
        <v>26</v>
      </c>
      <c r="F337" s="7" t="s">
        <v>78</v>
      </c>
      <c r="G337" s="6" t="s">
        <v>681</v>
      </c>
      <c r="H337" s="2" t="s">
        <v>681</v>
      </c>
      <c r="I337" s="1">
        <v>30</v>
      </c>
      <c r="J337" s="1">
        <v>5</v>
      </c>
      <c r="L337" s="45">
        <f t="shared" si="27"/>
        <v>45395</v>
      </c>
      <c r="M337" s="46">
        <f t="shared" si="25"/>
        <v>45395</v>
      </c>
      <c r="Q337" s="43">
        <f t="shared" si="28"/>
        <v>0</v>
      </c>
      <c r="R337" s="43">
        <f t="shared" ca="1" si="29"/>
        <v>0</v>
      </c>
      <c r="S337" s="22"/>
      <c r="T337" s="25">
        <v>45365</v>
      </c>
    </row>
    <row r="338" spans="1:20" x14ac:dyDescent="0.3">
      <c r="A338" s="13">
        <v>335</v>
      </c>
      <c r="B338" s="4" t="s">
        <v>701</v>
      </c>
      <c r="C338" s="39">
        <f t="shared" ca="1" si="26"/>
        <v>0</v>
      </c>
      <c r="D338" t="s">
        <v>42</v>
      </c>
      <c r="E338" t="s">
        <v>27</v>
      </c>
      <c r="F338" s="7" t="s">
        <v>78</v>
      </c>
      <c r="G338" s="6" t="s">
        <v>681</v>
      </c>
      <c r="H338" s="2" t="s">
        <v>681</v>
      </c>
      <c r="I338" s="1">
        <v>14</v>
      </c>
      <c r="J338" s="1">
        <v>10</v>
      </c>
      <c r="L338" s="45">
        <f t="shared" si="27"/>
        <v>45380</v>
      </c>
      <c r="M338" s="46">
        <f t="shared" si="25"/>
        <v>45380</v>
      </c>
      <c r="Q338" s="43">
        <f t="shared" si="28"/>
        <v>0</v>
      </c>
      <c r="R338" s="43">
        <f t="shared" ca="1" si="29"/>
        <v>0</v>
      </c>
      <c r="S338" s="22"/>
      <c r="T338" s="25">
        <v>45366</v>
      </c>
    </row>
    <row r="339" spans="1:20" x14ac:dyDescent="0.3">
      <c r="A339" s="13">
        <v>336</v>
      </c>
      <c r="B339" s="4" t="s">
        <v>702</v>
      </c>
      <c r="C339" s="39">
        <f t="shared" ca="1" si="26"/>
        <v>0</v>
      </c>
      <c r="D339" t="s">
        <v>267</v>
      </c>
      <c r="E339" t="s">
        <v>143</v>
      </c>
      <c r="F339" s="7" t="s">
        <v>78</v>
      </c>
      <c r="G339" s="6" t="s">
        <v>681</v>
      </c>
      <c r="H339" s="2" t="s">
        <v>681</v>
      </c>
      <c r="I339" s="1">
        <v>90</v>
      </c>
      <c r="J339" s="1">
        <v>10</v>
      </c>
      <c r="L339" s="45">
        <f t="shared" si="27"/>
        <v>45457</v>
      </c>
      <c r="M339" s="46">
        <f t="shared" si="25"/>
        <v>45457</v>
      </c>
      <c r="Q339" s="43">
        <f t="shared" si="28"/>
        <v>0</v>
      </c>
      <c r="R339" s="43">
        <f t="shared" ca="1" si="29"/>
        <v>0</v>
      </c>
      <c r="S339" s="22"/>
      <c r="T339" s="25">
        <v>45367</v>
      </c>
    </row>
    <row r="340" spans="1:20" x14ac:dyDescent="0.3">
      <c r="A340" s="13">
        <v>337</v>
      </c>
      <c r="B340" s="4" t="s">
        <v>702</v>
      </c>
      <c r="C340" s="39">
        <f t="shared" ca="1" si="26"/>
        <v>1</v>
      </c>
      <c r="D340" t="s">
        <v>267</v>
      </c>
      <c r="E340" t="s">
        <v>333</v>
      </c>
      <c r="F340" s="7" t="s">
        <v>78</v>
      </c>
      <c r="G340" s="6" t="s">
        <v>681</v>
      </c>
      <c r="H340" s="2" t="s">
        <v>681</v>
      </c>
      <c r="I340" s="1">
        <v>90</v>
      </c>
      <c r="J340" s="1">
        <v>10</v>
      </c>
      <c r="L340" s="45">
        <f t="shared" si="27"/>
        <v>45084</v>
      </c>
      <c r="M340" s="46">
        <f t="shared" si="25"/>
        <v>45458</v>
      </c>
      <c r="N340" s="50">
        <v>45084</v>
      </c>
      <c r="Q340" s="43">
        <f t="shared" si="28"/>
        <v>0</v>
      </c>
      <c r="R340" s="43">
        <f t="shared" ca="1" si="29"/>
        <v>0</v>
      </c>
      <c r="S340" s="22"/>
      <c r="T340" s="25">
        <v>45368</v>
      </c>
    </row>
    <row r="341" spans="1:20" x14ac:dyDescent="0.3">
      <c r="A341" s="13">
        <v>338</v>
      </c>
      <c r="B341" s="4" t="s">
        <v>702</v>
      </c>
      <c r="C341" s="39">
        <f t="shared" ca="1" si="26"/>
        <v>0</v>
      </c>
      <c r="D341" t="s">
        <v>267</v>
      </c>
      <c r="E341" t="s">
        <v>340</v>
      </c>
      <c r="F341" s="7" t="s">
        <v>78</v>
      </c>
      <c r="G341" s="6" t="s">
        <v>681</v>
      </c>
      <c r="H341" s="2" t="s">
        <v>681</v>
      </c>
      <c r="I341" s="1">
        <v>90</v>
      </c>
      <c r="J341" s="1">
        <v>10</v>
      </c>
      <c r="L341" s="45">
        <f t="shared" si="27"/>
        <v>45459</v>
      </c>
      <c r="M341" s="46">
        <f t="shared" si="25"/>
        <v>45459</v>
      </c>
      <c r="Q341" s="43">
        <f t="shared" si="28"/>
        <v>0</v>
      </c>
      <c r="R341" s="43">
        <f t="shared" ca="1" si="29"/>
        <v>0</v>
      </c>
      <c r="S341" s="22"/>
      <c r="T341" s="25">
        <v>45369</v>
      </c>
    </row>
    <row r="342" spans="1:20" x14ac:dyDescent="0.3">
      <c r="A342" s="13">
        <v>339</v>
      </c>
      <c r="B342" s="4" t="s">
        <v>702</v>
      </c>
      <c r="C342" s="39">
        <f t="shared" ca="1" si="26"/>
        <v>0</v>
      </c>
      <c r="D342" t="s">
        <v>267</v>
      </c>
      <c r="E342" t="s">
        <v>341</v>
      </c>
      <c r="F342" s="7" t="s">
        <v>78</v>
      </c>
      <c r="G342" s="6" t="s">
        <v>681</v>
      </c>
      <c r="H342" s="2" t="s">
        <v>681</v>
      </c>
      <c r="I342" s="1">
        <v>90</v>
      </c>
      <c r="J342" s="1">
        <v>10</v>
      </c>
      <c r="L342" s="45">
        <f t="shared" si="27"/>
        <v>45460</v>
      </c>
      <c r="M342" s="46">
        <f t="shared" si="25"/>
        <v>45460</v>
      </c>
      <c r="Q342" s="43">
        <f t="shared" si="28"/>
        <v>0</v>
      </c>
      <c r="R342" s="43">
        <f t="shared" ca="1" si="29"/>
        <v>0</v>
      </c>
      <c r="S342" s="22"/>
      <c r="T342" s="25">
        <v>45370</v>
      </c>
    </row>
    <row r="343" spans="1:20" x14ac:dyDescent="0.3">
      <c r="A343" s="13">
        <v>340</v>
      </c>
      <c r="B343" s="4" t="s">
        <v>702</v>
      </c>
      <c r="C343" s="39">
        <f t="shared" ca="1" si="26"/>
        <v>0</v>
      </c>
      <c r="D343" t="s">
        <v>37</v>
      </c>
      <c r="E343" t="s">
        <v>342</v>
      </c>
      <c r="F343" s="7" t="s">
        <v>78</v>
      </c>
      <c r="G343" s="6" t="s">
        <v>681</v>
      </c>
      <c r="H343" s="2" t="s">
        <v>681</v>
      </c>
      <c r="I343" s="1">
        <v>30</v>
      </c>
      <c r="J343" s="1">
        <v>5</v>
      </c>
      <c r="L343" s="45">
        <f t="shared" si="27"/>
        <v>45401</v>
      </c>
      <c r="M343" s="46">
        <f t="shared" si="25"/>
        <v>45401</v>
      </c>
      <c r="Q343" s="43">
        <f t="shared" si="28"/>
        <v>0</v>
      </c>
      <c r="R343" s="43">
        <f t="shared" ca="1" si="29"/>
        <v>0</v>
      </c>
      <c r="S343" s="22"/>
      <c r="T343" s="25">
        <v>45371</v>
      </c>
    </row>
    <row r="344" spans="1:20" x14ac:dyDescent="0.3">
      <c r="A344" s="13">
        <v>341</v>
      </c>
      <c r="B344" s="4" t="s">
        <v>702</v>
      </c>
      <c r="C344" s="39">
        <f t="shared" ca="1" si="26"/>
        <v>0</v>
      </c>
      <c r="D344" t="s">
        <v>37</v>
      </c>
      <c r="E344" t="s">
        <v>343</v>
      </c>
      <c r="F344" s="7" t="s">
        <v>78</v>
      </c>
      <c r="G344" s="6" t="s">
        <v>681</v>
      </c>
      <c r="H344" s="2" t="s">
        <v>681</v>
      </c>
      <c r="I344" s="1">
        <v>30</v>
      </c>
      <c r="J344" s="1">
        <v>5</v>
      </c>
      <c r="L344" s="45">
        <f t="shared" si="27"/>
        <v>45402</v>
      </c>
      <c r="M344" s="46">
        <f t="shared" si="25"/>
        <v>45402</v>
      </c>
      <c r="Q344" s="43">
        <f t="shared" si="28"/>
        <v>0</v>
      </c>
      <c r="R344" s="43">
        <f t="shared" ca="1" si="29"/>
        <v>0</v>
      </c>
      <c r="S344" s="22"/>
      <c r="T344" s="25">
        <v>45372</v>
      </c>
    </row>
    <row r="345" spans="1:20" x14ac:dyDescent="0.3">
      <c r="A345" s="13">
        <v>342</v>
      </c>
      <c r="B345" s="4" t="s">
        <v>702</v>
      </c>
      <c r="C345" s="39">
        <f t="shared" ca="1" si="26"/>
        <v>0</v>
      </c>
      <c r="D345" t="s">
        <v>37</v>
      </c>
      <c r="E345" t="s">
        <v>344</v>
      </c>
      <c r="F345" s="7" t="s">
        <v>78</v>
      </c>
      <c r="G345" s="6" t="s">
        <v>681</v>
      </c>
      <c r="H345" s="2" t="s">
        <v>681</v>
      </c>
      <c r="I345" s="1">
        <v>30</v>
      </c>
      <c r="J345" s="1">
        <v>5</v>
      </c>
      <c r="L345" s="45">
        <f t="shared" si="27"/>
        <v>45403</v>
      </c>
      <c r="M345" s="46">
        <f t="shared" si="25"/>
        <v>45403</v>
      </c>
      <c r="Q345" s="43">
        <f t="shared" si="28"/>
        <v>0</v>
      </c>
      <c r="R345" s="43">
        <f t="shared" ca="1" si="29"/>
        <v>0</v>
      </c>
      <c r="S345" s="22"/>
      <c r="T345" s="25">
        <v>45373</v>
      </c>
    </row>
    <row r="346" spans="1:20" x14ac:dyDescent="0.3">
      <c r="A346" s="13">
        <v>343</v>
      </c>
      <c r="B346" s="4" t="s">
        <v>702</v>
      </c>
      <c r="C346" s="39">
        <f t="shared" ca="1" si="26"/>
        <v>1</v>
      </c>
      <c r="D346" t="s">
        <v>37</v>
      </c>
      <c r="E346" t="s">
        <v>160</v>
      </c>
      <c r="F346" s="7" t="s">
        <v>78</v>
      </c>
      <c r="G346" s="6" t="s">
        <v>681</v>
      </c>
      <c r="H346" s="2" t="s">
        <v>681</v>
      </c>
      <c r="I346" s="1">
        <v>30</v>
      </c>
      <c r="J346" s="1">
        <v>5</v>
      </c>
      <c r="L346" s="45">
        <f t="shared" si="27"/>
        <v>45084</v>
      </c>
      <c r="M346" s="46">
        <f t="shared" si="25"/>
        <v>45404</v>
      </c>
      <c r="N346" s="50">
        <v>45084</v>
      </c>
      <c r="Q346" s="43">
        <f t="shared" si="28"/>
        <v>0</v>
      </c>
      <c r="R346" s="43">
        <f t="shared" ca="1" si="29"/>
        <v>0</v>
      </c>
      <c r="S346" s="22"/>
      <c r="T346" s="25">
        <v>45374</v>
      </c>
    </row>
    <row r="347" spans="1:20" x14ac:dyDescent="0.3">
      <c r="A347" s="13">
        <v>344</v>
      </c>
      <c r="B347" s="4" t="s">
        <v>702</v>
      </c>
      <c r="C347" s="39">
        <f t="shared" ca="1" si="26"/>
        <v>0</v>
      </c>
      <c r="D347" t="s">
        <v>112</v>
      </c>
      <c r="E347" t="s">
        <v>143</v>
      </c>
      <c r="F347" s="7" t="s">
        <v>78</v>
      </c>
      <c r="G347" s="6" t="s">
        <v>681</v>
      </c>
      <c r="H347" s="2" t="s">
        <v>681</v>
      </c>
      <c r="I347" s="1">
        <v>90</v>
      </c>
      <c r="J347" s="1">
        <v>15</v>
      </c>
      <c r="L347" s="45">
        <f t="shared" si="27"/>
        <v>45465</v>
      </c>
      <c r="M347" s="46">
        <f t="shared" si="25"/>
        <v>45465</v>
      </c>
      <c r="Q347" s="43">
        <f t="shared" si="28"/>
        <v>0</v>
      </c>
      <c r="R347" s="43">
        <f t="shared" ca="1" si="29"/>
        <v>0</v>
      </c>
      <c r="S347" s="22"/>
      <c r="T347" s="25">
        <v>45375</v>
      </c>
    </row>
    <row r="348" spans="1:20" x14ac:dyDescent="0.3">
      <c r="A348" s="13">
        <v>345</v>
      </c>
      <c r="B348" s="4" t="s">
        <v>702</v>
      </c>
      <c r="C348" s="39">
        <f t="shared" ca="1" si="26"/>
        <v>0</v>
      </c>
      <c r="D348" t="s">
        <v>112</v>
      </c>
      <c r="E348" t="s">
        <v>333</v>
      </c>
      <c r="F348" s="7" t="s">
        <v>78</v>
      </c>
      <c r="G348" s="6" t="s">
        <v>681</v>
      </c>
      <c r="H348" s="2" t="s">
        <v>681</v>
      </c>
      <c r="I348" s="1">
        <v>90</v>
      </c>
      <c r="J348" s="1">
        <v>15</v>
      </c>
      <c r="L348" s="45">
        <f t="shared" si="27"/>
        <v>45466</v>
      </c>
      <c r="M348" s="46">
        <f t="shared" si="25"/>
        <v>45466</v>
      </c>
      <c r="Q348" s="43">
        <f t="shared" si="28"/>
        <v>0</v>
      </c>
      <c r="R348" s="43">
        <f t="shared" ca="1" si="29"/>
        <v>0</v>
      </c>
      <c r="S348" s="22"/>
      <c r="T348" s="25">
        <v>45376</v>
      </c>
    </row>
    <row r="349" spans="1:20" x14ac:dyDescent="0.3">
      <c r="A349" s="13">
        <v>346</v>
      </c>
      <c r="B349" s="4" t="s">
        <v>702</v>
      </c>
      <c r="C349" s="39">
        <f t="shared" ca="1" si="26"/>
        <v>0</v>
      </c>
      <c r="D349" t="s">
        <v>112</v>
      </c>
      <c r="E349" t="s">
        <v>161</v>
      </c>
      <c r="F349" s="7" t="s">
        <v>78</v>
      </c>
      <c r="G349" s="6" t="s">
        <v>681</v>
      </c>
      <c r="H349" s="2" t="s">
        <v>681</v>
      </c>
      <c r="I349" s="1">
        <v>60</v>
      </c>
      <c r="J349" s="1">
        <v>5</v>
      </c>
      <c r="L349" s="45">
        <f t="shared" si="27"/>
        <v>45437</v>
      </c>
      <c r="M349" s="46">
        <f t="shared" si="25"/>
        <v>45437</v>
      </c>
      <c r="Q349" s="43">
        <f t="shared" si="28"/>
        <v>0</v>
      </c>
      <c r="R349" s="43">
        <f t="shared" ca="1" si="29"/>
        <v>0</v>
      </c>
      <c r="S349" s="22"/>
      <c r="T349" s="25">
        <v>45377</v>
      </c>
    </row>
    <row r="350" spans="1:20" x14ac:dyDescent="0.3">
      <c r="A350" s="13">
        <v>347</v>
      </c>
      <c r="B350" s="4" t="s">
        <v>702</v>
      </c>
      <c r="C350" s="39">
        <f t="shared" ca="1" si="26"/>
        <v>0</v>
      </c>
      <c r="D350" t="s">
        <v>112</v>
      </c>
      <c r="E350" t="s">
        <v>144</v>
      </c>
      <c r="F350" s="7" t="s">
        <v>78</v>
      </c>
      <c r="G350" s="6" t="s">
        <v>681</v>
      </c>
      <c r="H350" s="2" t="s">
        <v>681</v>
      </c>
      <c r="I350" s="1">
        <v>180</v>
      </c>
      <c r="J350" s="1">
        <v>10</v>
      </c>
      <c r="L350" s="45">
        <f t="shared" si="27"/>
        <v>45558</v>
      </c>
      <c r="M350" s="46">
        <f t="shared" si="25"/>
        <v>45558</v>
      </c>
      <c r="Q350" s="43">
        <f t="shared" si="28"/>
        <v>0</v>
      </c>
      <c r="R350" s="43">
        <f t="shared" ca="1" si="29"/>
        <v>0</v>
      </c>
      <c r="S350" s="22"/>
      <c r="T350" s="25">
        <v>45378</v>
      </c>
    </row>
    <row r="351" spans="1:20" x14ac:dyDescent="0.3">
      <c r="A351" s="13">
        <v>348</v>
      </c>
      <c r="B351" s="4" t="s">
        <v>702</v>
      </c>
      <c r="C351" s="39">
        <f t="shared" ca="1" si="26"/>
        <v>0</v>
      </c>
      <c r="D351" t="s">
        <v>112</v>
      </c>
      <c r="E351" t="s">
        <v>145</v>
      </c>
      <c r="F351" s="7" t="s">
        <v>78</v>
      </c>
      <c r="G351" s="6" t="s">
        <v>681</v>
      </c>
      <c r="H351" s="2" t="s">
        <v>681</v>
      </c>
      <c r="I351" s="1">
        <v>30</v>
      </c>
      <c r="J351" s="1">
        <v>1</v>
      </c>
      <c r="L351" s="45">
        <f t="shared" si="27"/>
        <v>45409</v>
      </c>
      <c r="M351" s="46">
        <f t="shared" si="25"/>
        <v>45409</v>
      </c>
      <c r="Q351" s="43">
        <f t="shared" si="28"/>
        <v>0</v>
      </c>
      <c r="R351" s="43">
        <f t="shared" ca="1" si="29"/>
        <v>0</v>
      </c>
      <c r="S351" s="22"/>
      <c r="T351" s="25">
        <v>45379</v>
      </c>
    </row>
    <row r="352" spans="1:20" x14ac:dyDescent="0.3">
      <c r="A352" s="13">
        <v>349</v>
      </c>
      <c r="B352" s="4" t="s">
        <v>702</v>
      </c>
      <c r="C352" s="39">
        <f t="shared" ca="1" si="26"/>
        <v>0</v>
      </c>
      <c r="D352" t="s">
        <v>113</v>
      </c>
      <c r="E352" t="s">
        <v>10</v>
      </c>
      <c r="F352" s="7" t="s">
        <v>78</v>
      </c>
      <c r="G352" s="6" t="s">
        <v>681</v>
      </c>
      <c r="H352" s="2" t="s">
        <v>681</v>
      </c>
      <c r="I352" s="1">
        <v>30</v>
      </c>
      <c r="J352" s="1">
        <v>10</v>
      </c>
      <c r="L352" s="45">
        <f t="shared" si="27"/>
        <v>45410</v>
      </c>
      <c r="M352" s="46">
        <f t="shared" si="25"/>
        <v>45410</v>
      </c>
      <c r="Q352" s="43">
        <f t="shared" si="28"/>
        <v>0</v>
      </c>
      <c r="R352" s="43">
        <f t="shared" ca="1" si="29"/>
        <v>0</v>
      </c>
      <c r="S352" s="22"/>
      <c r="T352" s="25">
        <v>45380</v>
      </c>
    </row>
    <row r="353" spans="1:20" x14ac:dyDescent="0.3">
      <c r="A353" s="13">
        <v>350</v>
      </c>
      <c r="B353" s="4" t="s">
        <v>702</v>
      </c>
      <c r="C353" s="39">
        <f t="shared" ca="1" si="26"/>
        <v>0</v>
      </c>
      <c r="D353" t="s">
        <v>113</v>
      </c>
      <c r="E353" t="s">
        <v>11</v>
      </c>
      <c r="F353" s="7" t="s">
        <v>78</v>
      </c>
      <c r="G353" s="6" t="s">
        <v>681</v>
      </c>
      <c r="H353" s="2" t="s">
        <v>681</v>
      </c>
      <c r="I353" s="1">
        <v>30</v>
      </c>
      <c r="J353" s="1">
        <v>10</v>
      </c>
      <c r="L353" s="45">
        <f t="shared" si="27"/>
        <v>45411</v>
      </c>
      <c r="M353" s="46">
        <f t="shared" ref="M353:M416" si="30">T353+I353</f>
        <v>45411</v>
      </c>
      <c r="Q353" s="43">
        <f t="shared" si="28"/>
        <v>0</v>
      </c>
      <c r="R353" s="43">
        <f t="shared" ca="1" si="29"/>
        <v>0</v>
      </c>
      <c r="S353" s="22"/>
      <c r="T353" s="25">
        <v>45381</v>
      </c>
    </row>
    <row r="354" spans="1:20" x14ac:dyDescent="0.3">
      <c r="A354" s="13">
        <v>351</v>
      </c>
      <c r="B354" s="4" t="s">
        <v>702</v>
      </c>
      <c r="C354" s="39">
        <f t="shared" ca="1" si="26"/>
        <v>0</v>
      </c>
      <c r="D354" t="s">
        <v>113</v>
      </c>
      <c r="E354" t="s">
        <v>12</v>
      </c>
      <c r="F354" s="7" t="s">
        <v>78</v>
      </c>
      <c r="G354" s="6" t="s">
        <v>681</v>
      </c>
      <c r="H354" s="2" t="s">
        <v>681</v>
      </c>
      <c r="I354" s="1">
        <v>30</v>
      </c>
      <c r="J354" s="1">
        <v>10</v>
      </c>
      <c r="L354" s="45">
        <f t="shared" si="27"/>
        <v>45412</v>
      </c>
      <c r="M354" s="46">
        <f t="shared" si="30"/>
        <v>45412</v>
      </c>
      <c r="Q354" s="43">
        <f t="shared" si="28"/>
        <v>0</v>
      </c>
      <c r="R354" s="43">
        <f t="shared" ca="1" si="29"/>
        <v>0</v>
      </c>
      <c r="S354" s="22"/>
      <c r="T354" s="25">
        <v>45382</v>
      </c>
    </row>
    <row r="355" spans="1:20" x14ac:dyDescent="0.3">
      <c r="A355" s="13">
        <v>352</v>
      </c>
      <c r="B355" s="4" t="s">
        <v>702</v>
      </c>
      <c r="C355" s="39">
        <f t="shared" ca="1" si="26"/>
        <v>1</v>
      </c>
      <c r="D355" t="s">
        <v>266</v>
      </c>
      <c r="E355" t="s">
        <v>25</v>
      </c>
      <c r="F355" s="7" t="s">
        <v>78</v>
      </c>
      <c r="G355" s="6" t="s">
        <v>681</v>
      </c>
      <c r="H355" s="2" t="s">
        <v>681</v>
      </c>
      <c r="I355" s="1">
        <v>30</v>
      </c>
      <c r="J355" s="1">
        <v>5</v>
      </c>
      <c r="L355" s="45">
        <f t="shared" si="27"/>
        <v>45084</v>
      </c>
      <c r="M355" s="46">
        <f t="shared" si="30"/>
        <v>45413</v>
      </c>
      <c r="N355" s="50">
        <v>45084</v>
      </c>
      <c r="Q355" s="43">
        <f t="shared" si="28"/>
        <v>0</v>
      </c>
      <c r="R355" s="43">
        <f t="shared" ca="1" si="29"/>
        <v>0</v>
      </c>
      <c r="S355" s="22"/>
      <c r="T355" s="25">
        <v>45383</v>
      </c>
    </row>
    <row r="356" spans="1:20" x14ac:dyDescent="0.3">
      <c r="A356" s="13">
        <v>353</v>
      </c>
      <c r="B356" s="4" t="s">
        <v>702</v>
      </c>
      <c r="C356" s="39">
        <f t="shared" ca="1" si="26"/>
        <v>0</v>
      </c>
      <c r="D356" t="s">
        <v>266</v>
      </c>
      <c r="E356" t="s">
        <v>26</v>
      </c>
      <c r="F356" s="7" t="s">
        <v>78</v>
      </c>
      <c r="G356" s="6" t="s">
        <v>681</v>
      </c>
      <c r="H356" s="2" t="s">
        <v>681</v>
      </c>
      <c r="I356" s="1">
        <v>30</v>
      </c>
      <c r="J356" s="1">
        <v>5</v>
      </c>
      <c r="L356" s="45">
        <f t="shared" si="27"/>
        <v>45414</v>
      </c>
      <c r="M356" s="46">
        <f t="shared" si="30"/>
        <v>45414</v>
      </c>
      <c r="Q356" s="43">
        <f t="shared" si="28"/>
        <v>0</v>
      </c>
      <c r="R356" s="43">
        <f t="shared" ca="1" si="29"/>
        <v>0</v>
      </c>
      <c r="S356" s="22"/>
      <c r="T356" s="25">
        <v>45384</v>
      </c>
    </row>
    <row r="357" spans="1:20" x14ac:dyDescent="0.3">
      <c r="A357" s="13">
        <v>354</v>
      </c>
      <c r="B357" s="4" t="s">
        <v>702</v>
      </c>
      <c r="C357" s="39">
        <f t="shared" ca="1" si="26"/>
        <v>0</v>
      </c>
      <c r="D357" t="s">
        <v>42</v>
      </c>
      <c r="E357" t="s">
        <v>27</v>
      </c>
      <c r="F357" s="7" t="s">
        <v>78</v>
      </c>
      <c r="G357" s="6" t="s">
        <v>681</v>
      </c>
      <c r="H357" s="2" t="s">
        <v>681</v>
      </c>
      <c r="I357" s="1">
        <v>30</v>
      </c>
      <c r="J357" s="1">
        <v>5</v>
      </c>
      <c r="L357" s="45">
        <f t="shared" si="27"/>
        <v>45415</v>
      </c>
      <c r="M357" s="46">
        <f t="shared" si="30"/>
        <v>45415</v>
      </c>
      <c r="Q357" s="43">
        <f t="shared" si="28"/>
        <v>0</v>
      </c>
      <c r="R357" s="43">
        <f t="shared" ca="1" si="29"/>
        <v>0</v>
      </c>
      <c r="S357" s="22"/>
      <c r="T357" s="25">
        <v>45385</v>
      </c>
    </row>
    <row r="358" spans="1:20" x14ac:dyDescent="0.3">
      <c r="A358" s="13">
        <v>355</v>
      </c>
      <c r="B358" s="4" t="s">
        <v>703</v>
      </c>
      <c r="C358" s="39">
        <f t="shared" ca="1" si="26"/>
        <v>0</v>
      </c>
      <c r="D358" t="s">
        <v>268</v>
      </c>
      <c r="E358" t="s">
        <v>345</v>
      </c>
      <c r="F358" s="7" t="s">
        <v>78</v>
      </c>
      <c r="G358" s="6" t="s">
        <v>681</v>
      </c>
      <c r="H358" s="2" t="s">
        <v>681</v>
      </c>
      <c r="I358" s="1">
        <v>7</v>
      </c>
      <c r="J358" s="1">
        <v>10</v>
      </c>
      <c r="L358" s="45">
        <f t="shared" si="27"/>
        <v>45393</v>
      </c>
      <c r="M358" s="46">
        <f t="shared" si="30"/>
        <v>45393</v>
      </c>
      <c r="Q358" s="43">
        <f t="shared" si="28"/>
        <v>0</v>
      </c>
      <c r="R358" s="43">
        <f t="shared" ca="1" si="29"/>
        <v>0</v>
      </c>
      <c r="S358" s="22"/>
      <c r="T358" s="25">
        <v>45386</v>
      </c>
    </row>
    <row r="359" spans="1:20" x14ac:dyDescent="0.3">
      <c r="A359" s="13">
        <v>356</v>
      </c>
      <c r="B359" s="4" t="s">
        <v>703</v>
      </c>
      <c r="C359" s="39">
        <f t="shared" ca="1" si="26"/>
        <v>0</v>
      </c>
      <c r="D359" t="s">
        <v>268</v>
      </c>
      <c r="E359" t="s">
        <v>346</v>
      </c>
      <c r="F359" s="7" t="s">
        <v>78</v>
      </c>
      <c r="G359" s="6" t="s">
        <v>681</v>
      </c>
      <c r="H359" s="2" t="s">
        <v>681</v>
      </c>
      <c r="I359" s="1">
        <v>7</v>
      </c>
      <c r="J359" s="1">
        <v>10</v>
      </c>
      <c r="L359" s="45">
        <f t="shared" si="27"/>
        <v>45394</v>
      </c>
      <c r="M359" s="46">
        <f t="shared" si="30"/>
        <v>45394</v>
      </c>
      <c r="Q359" s="43">
        <f t="shared" si="28"/>
        <v>0</v>
      </c>
      <c r="R359" s="43">
        <f t="shared" ca="1" si="29"/>
        <v>0</v>
      </c>
      <c r="S359" s="22"/>
      <c r="T359" s="25">
        <v>45387</v>
      </c>
    </row>
    <row r="360" spans="1:20" x14ac:dyDescent="0.3">
      <c r="A360" s="13">
        <v>357</v>
      </c>
      <c r="B360" s="4" t="s">
        <v>703</v>
      </c>
      <c r="C360" s="39">
        <f t="shared" ca="1" si="26"/>
        <v>0</v>
      </c>
      <c r="D360" t="s">
        <v>268</v>
      </c>
      <c r="E360" t="s">
        <v>347</v>
      </c>
      <c r="F360" s="7" t="s">
        <v>78</v>
      </c>
      <c r="G360" s="6" t="s">
        <v>681</v>
      </c>
      <c r="H360" s="2" t="s">
        <v>681</v>
      </c>
      <c r="I360" s="1">
        <v>7</v>
      </c>
      <c r="J360" s="1">
        <v>10</v>
      </c>
      <c r="L360" s="45">
        <f t="shared" si="27"/>
        <v>45395</v>
      </c>
      <c r="M360" s="46">
        <f t="shared" si="30"/>
        <v>45395</v>
      </c>
      <c r="Q360" s="43">
        <f t="shared" si="28"/>
        <v>0</v>
      </c>
      <c r="R360" s="43">
        <f t="shared" ca="1" si="29"/>
        <v>0</v>
      </c>
      <c r="S360" s="22"/>
      <c r="T360" s="25">
        <v>45388</v>
      </c>
    </row>
    <row r="361" spans="1:20" x14ac:dyDescent="0.3">
      <c r="A361" s="13">
        <v>358</v>
      </c>
      <c r="B361" s="4" t="s">
        <v>703</v>
      </c>
      <c r="C361" s="39">
        <f t="shared" ca="1" si="26"/>
        <v>0</v>
      </c>
      <c r="D361" t="s">
        <v>268</v>
      </c>
      <c r="E361" t="s">
        <v>348</v>
      </c>
      <c r="F361" s="7" t="s">
        <v>78</v>
      </c>
      <c r="G361" s="6" t="s">
        <v>681</v>
      </c>
      <c r="H361" s="2" t="s">
        <v>681</v>
      </c>
      <c r="I361" s="1">
        <v>7</v>
      </c>
      <c r="J361" s="1">
        <v>10</v>
      </c>
      <c r="L361" s="45">
        <f t="shared" si="27"/>
        <v>45396</v>
      </c>
      <c r="M361" s="46">
        <f t="shared" si="30"/>
        <v>45396</v>
      </c>
      <c r="Q361" s="43">
        <f t="shared" si="28"/>
        <v>0</v>
      </c>
      <c r="R361" s="43">
        <f t="shared" ca="1" si="29"/>
        <v>0</v>
      </c>
      <c r="S361" s="22"/>
      <c r="T361" s="25">
        <v>45389</v>
      </c>
    </row>
    <row r="362" spans="1:20" x14ac:dyDescent="0.3">
      <c r="A362" s="13">
        <v>359</v>
      </c>
      <c r="B362" s="4" t="s">
        <v>703</v>
      </c>
      <c r="C362" s="39">
        <f t="shared" ca="1" si="26"/>
        <v>0</v>
      </c>
      <c r="D362" t="s">
        <v>268</v>
      </c>
      <c r="E362" t="s">
        <v>349</v>
      </c>
      <c r="F362" s="7" t="s">
        <v>78</v>
      </c>
      <c r="G362" s="6" t="s">
        <v>681</v>
      </c>
      <c r="H362" s="2" t="s">
        <v>681</v>
      </c>
      <c r="I362" s="1">
        <v>30</v>
      </c>
      <c r="J362" s="1">
        <v>15</v>
      </c>
      <c r="L362" s="45">
        <f t="shared" si="27"/>
        <v>45420</v>
      </c>
      <c r="M362" s="46">
        <f t="shared" si="30"/>
        <v>45420</v>
      </c>
      <c r="Q362" s="43">
        <f t="shared" si="28"/>
        <v>0</v>
      </c>
      <c r="R362" s="43">
        <f t="shared" ca="1" si="29"/>
        <v>0</v>
      </c>
      <c r="S362" s="22"/>
      <c r="T362" s="25">
        <v>45390</v>
      </c>
    </row>
    <row r="363" spans="1:20" x14ac:dyDescent="0.3">
      <c r="A363" s="13">
        <v>360</v>
      </c>
      <c r="B363" s="4" t="s">
        <v>703</v>
      </c>
      <c r="C363" s="39">
        <f t="shared" ca="1" si="26"/>
        <v>1</v>
      </c>
      <c r="D363" t="s">
        <v>114</v>
      </c>
      <c r="E363" t="s">
        <v>350</v>
      </c>
      <c r="F363" s="7" t="s">
        <v>78</v>
      </c>
      <c r="G363" s="6" t="s">
        <v>681</v>
      </c>
      <c r="H363" s="2" t="s">
        <v>681</v>
      </c>
      <c r="I363" s="1">
        <v>30</v>
      </c>
      <c r="J363" s="1">
        <v>10</v>
      </c>
      <c r="L363" s="45">
        <f t="shared" si="27"/>
        <v>45084</v>
      </c>
      <c r="M363" s="46">
        <f t="shared" si="30"/>
        <v>45421</v>
      </c>
      <c r="N363" s="50">
        <v>45084</v>
      </c>
      <c r="Q363" s="43">
        <f t="shared" si="28"/>
        <v>0</v>
      </c>
      <c r="R363" s="43">
        <f t="shared" ca="1" si="29"/>
        <v>0</v>
      </c>
      <c r="S363" s="22">
        <v>1</v>
      </c>
      <c r="T363" s="25">
        <v>45391</v>
      </c>
    </row>
    <row r="364" spans="1:20" x14ac:dyDescent="0.3">
      <c r="A364" s="13">
        <v>361</v>
      </c>
      <c r="B364" s="4" t="s">
        <v>703</v>
      </c>
      <c r="C364" s="39">
        <f t="shared" ca="1" si="26"/>
        <v>0</v>
      </c>
      <c r="D364" t="s">
        <v>114</v>
      </c>
      <c r="E364" t="s">
        <v>351</v>
      </c>
      <c r="F364" s="7" t="s">
        <v>78</v>
      </c>
      <c r="G364" s="6" t="s">
        <v>681</v>
      </c>
      <c r="H364" s="2" t="s">
        <v>681</v>
      </c>
      <c r="I364" s="1">
        <v>7</v>
      </c>
      <c r="J364" s="1">
        <v>20</v>
      </c>
      <c r="L364" s="45">
        <f t="shared" si="27"/>
        <v>45399</v>
      </c>
      <c r="M364" s="46">
        <f t="shared" si="30"/>
        <v>45399</v>
      </c>
      <c r="Q364" s="43">
        <f t="shared" si="28"/>
        <v>0</v>
      </c>
      <c r="R364" s="43">
        <f t="shared" ca="1" si="29"/>
        <v>0</v>
      </c>
      <c r="S364" s="22"/>
      <c r="T364" s="25">
        <v>45392</v>
      </c>
    </row>
    <row r="365" spans="1:20" x14ac:dyDescent="0.3">
      <c r="A365" s="13">
        <v>362</v>
      </c>
      <c r="B365" s="4" t="s">
        <v>703</v>
      </c>
      <c r="C365" s="39">
        <f t="shared" ca="1" si="26"/>
        <v>0</v>
      </c>
      <c r="D365" t="s">
        <v>114</v>
      </c>
      <c r="E365" t="s">
        <v>352</v>
      </c>
      <c r="F365" s="7" t="s">
        <v>78</v>
      </c>
      <c r="G365" s="6" t="s">
        <v>681</v>
      </c>
      <c r="H365" s="2" t="s">
        <v>681</v>
      </c>
      <c r="I365" s="1">
        <v>30</v>
      </c>
      <c r="J365" s="1">
        <v>45</v>
      </c>
      <c r="L365" s="45">
        <f t="shared" si="27"/>
        <v>45423</v>
      </c>
      <c r="M365" s="46">
        <f t="shared" si="30"/>
        <v>45423</v>
      </c>
      <c r="Q365" s="43">
        <f t="shared" si="28"/>
        <v>0</v>
      </c>
      <c r="R365" s="43">
        <f t="shared" ca="1" si="29"/>
        <v>0</v>
      </c>
      <c r="S365" s="22"/>
      <c r="T365" s="25">
        <v>45393</v>
      </c>
    </row>
    <row r="366" spans="1:20" x14ac:dyDescent="0.3">
      <c r="A366" s="13">
        <v>363</v>
      </c>
      <c r="B366" s="4" t="s">
        <v>703</v>
      </c>
      <c r="C366" s="39">
        <f t="shared" ca="1" si="26"/>
        <v>0</v>
      </c>
      <c r="D366" t="s">
        <v>37</v>
      </c>
      <c r="E366" t="s">
        <v>342</v>
      </c>
      <c r="F366" s="7" t="s">
        <v>78</v>
      </c>
      <c r="G366" s="6" t="s">
        <v>681</v>
      </c>
      <c r="H366" s="2" t="s">
        <v>681</v>
      </c>
      <c r="I366" s="1">
        <v>30</v>
      </c>
      <c r="J366" s="1">
        <v>5</v>
      </c>
      <c r="L366" s="45">
        <f t="shared" si="27"/>
        <v>45424</v>
      </c>
      <c r="M366" s="46">
        <f t="shared" si="30"/>
        <v>45424</v>
      </c>
      <c r="Q366" s="43">
        <f t="shared" si="28"/>
        <v>0</v>
      </c>
      <c r="R366" s="43">
        <f t="shared" ca="1" si="29"/>
        <v>0</v>
      </c>
      <c r="S366" s="22"/>
      <c r="T366" s="25">
        <v>45394</v>
      </c>
    </row>
    <row r="367" spans="1:20" x14ac:dyDescent="0.3">
      <c r="A367" s="13">
        <v>364</v>
      </c>
      <c r="B367" s="4" t="s">
        <v>703</v>
      </c>
      <c r="C367" s="39">
        <f t="shared" ca="1" si="26"/>
        <v>0</v>
      </c>
      <c r="D367" t="s">
        <v>37</v>
      </c>
      <c r="E367" t="s">
        <v>343</v>
      </c>
      <c r="F367" s="7" t="s">
        <v>78</v>
      </c>
      <c r="G367" s="6" t="s">
        <v>681</v>
      </c>
      <c r="H367" s="2" t="s">
        <v>681</v>
      </c>
      <c r="I367" s="1">
        <v>30</v>
      </c>
      <c r="J367" s="1">
        <v>5</v>
      </c>
      <c r="L367" s="45">
        <f t="shared" si="27"/>
        <v>45425</v>
      </c>
      <c r="M367" s="46">
        <f t="shared" si="30"/>
        <v>45425</v>
      </c>
      <c r="Q367" s="43">
        <f t="shared" si="28"/>
        <v>0</v>
      </c>
      <c r="R367" s="43">
        <f t="shared" ca="1" si="29"/>
        <v>0</v>
      </c>
      <c r="S367" s="22"/>
      <c r="T367" s="25">
        <v>45395</v>
      </c>
    </row>
    <row r="368" spans="1:20" x14ac:dyDescent="0.3">
      <c r="A368" s="13">
        <v>365</v>
      </c>
      <c r="B368" s="4" t="s">
        <v>703</v>
      </c>
      <c r="C368" s="39">
        <f t="shared" ca="1" si="26"/>
        <v>0</v>
      </c>
      <c r="D368" t="s">
        <v>37</v>
      </c>
      <c r="E368" t="s">
        <v>353</v>
      </c>
      <c r="F368" s="7" t="s">
        <v>78</v>
      </c>
      <c r="G368" s="6" t="s">
        <v>681</v>
      </c>
      <c r="H368" s="2" t="s">
        <v>681</v>
      </c>
      <c r="I368" s="1">
        <v>30</v>
      </c>
      <c r="J368" s="1">
        <v>5</v>
      </c>
      <c r="L368" s="45">
        <f t="shared" si="27"/>
        <v>45426</v>
      </c>
      <c r="M368" s="46">
        <f t="shared" si="30"/>
        <v>45426</v>
      </c>
      <c r="Q368" s="43">
        <f t="shared" si="28"/>
        <v>0</v>
      </c>
      <c r="R368" s="43">
        <f t="shared" ca="1" si="29"/>
        <v>0</v>
      </c>
      <c r="S368" s="22"/>
      <c r="T368" s="25">
        <v>45396</v>
      </c>
    </row>
    <row r="369" spans="1:20" x14ac:dyDescent="0.3">
      <c r="A369" s="13">
        <v>366</v>
      </c>
      <c r="B369" s="4" t="s">
        <v>703</v>
      </c>
      <c r="C369" s="39">
        <f t="shared" ca="1" si="26"/>
        <v>0</v>
      </c>
      <c r="D369" t="s">
        <v>37</v>
      </c>
      <c r="E369" t="s">
        <v>160</v>
      </c>
      <c r="F369" s="7" t="s">
        <v>78</v>
      </c>
      <c r="G369" s="6" t="s">
        <v>681</v>
      </c>
      <c r="H369" s="2" t="s">
        <v>681</v>
      </c>
      <c r="I369" s="1">
        <v>30</v>
      </c>
      <c r="J369" s="1">
        <v>5</v>
      </c>
      <c r="L369" s="45">
        <f t="shared" si="27"/>
        <v>45427</v>
      </c>
      <c r="M369" s="46">
        <f t="shared" si="30"/>
        <v>45427</v>
      </c>
      <c r="Q369" s="43">
        <f t="shared" si="28"/>
        <v>0</v>
      </c>
      <c r="R369" s="43">
        <f t="shared" ca="1" si="29"/>
        <v>0</v>
      </c>
      <c r="S369" s="22"/>
      <c r="T369" s="25">
        <v>45397</v>
      </c>
    </row>
    <row r="370" spans="1:20" x14ac:dyDescent="0.3">
      <c r="A370" s="13">
        <v>367</v>
      </c>
      <c r="B370" s="4" t="s">
        <v>703</v>
      </c>
      <c r="C370" s="39">
        <f t="shared" ca="1" si="26"/>
        <v>1</v>
      </c>
      <c r="D370" t="s">
        <v>37</v>
      </c>
      <c r="E370" t="s">
        <v>354</v>
      </c>
      <c r="F370" s="7" t="s">
        <v>78</v>
      </c>
      <c r="G370" s="6" t="s">
        <v>681</v>
      </c>
      <c r="H370" s="2" t="s">
        <v>681</v>
      </c>
      <c r="I370" s="1">
        <v>7</v>
      </c>
      <c r="J370" s="1">
        <v>10</v>
      </c>
      <c r="L370" s="45">
        <f t="shared" si="27"/>
        <v>45084</v>
      </c>
      <c r="M370" s="46">
        <f t="shared" si="30"/>
        <v>45405</v>
      </c>
      <c r="N370" s="50">
        <v>45084</v>
      </c>
      <c r="Q370" s="43">
        <f t="shared" si="28"/>
        <v>0</v>
      </c>
      <c r="R370" s="43">
        <f t="shared" ca="1" si="29"/>
        <v>0</v>
      </c>
      <c r="S370" s="22"/>
      <c r="T370" s="25">
        <v>45398</v>
      </c>
    </row>
    <row r="371" spans="1:20" x14ac:dyDescent="0.3">
      <c r="A371" s="13">
        <v>368</v>
      </c>
      <c r="B371" s="4" t="s">
        <v>703</v>
      </c>
      <c r="C371" s="39">
        <f t="shared" ca="1" si="26"/>
        <v>0</v>
      </c>
      <c r="D371" t="s">
        <v>37</v>
      </c>
      <c r="E371" t="s">
        <v>355</v>
      </c>
      <c r="F371" s="7" t="s">
        <v>78</v>
      </c>
      <c r="G371" s="6" t="s">
        <v>681</v>
      </c>
      <c r="H371" s="2" t="s">
        <v>681</v>
      </c>
      <c r="I371" s="1">
        <v>7</v>
      </c>
      <c r="J371" s="1">
        <v>10</v>
      </c>
      <c r="L371" s="45">
        <f t="shared" si="27"/>
        <v>45406</v>
      </c>
      <c r="M371" s="46">
        <f t="shared" si="30"/>
        <v>45406</v>
      </c>
      <c r="Q371" s="43">
        <f t="shared" si="28"/>
        <v>0</v>
      </c>
      <c r="R371" s="43">
        <f t="shared" ca="1" si="29"/>
        <v>0</v>
      </c>
      <c r="S371" s="22"/>
      <c r="T371" s="25">
        <v>45399</v>
      </c>
    </row>
    <row r="372" spans="1:20" x14ac:dyDescent="0.3">
      <c r="A372" s="13">
        <v>369</v>
      </c>
      <c r="B372" s="4" t="s">
        <v>703</v>
      </c>
      <c r="C372" s="39">
        <f t="shared" ca="1" si="26"/>
        <v>0</v>
      </c>
      <c r="D372" t="s">
        <v>269</v>
      </c>
      <c r="E372" t="s">
        <v>345</v>
      </c>
      <c r="F372" s="7" t="s">
        <v>78</v>
      </c>
      <c r="G372" s="6" t="s">
        <v>681</v>
      </c>
      <c r="H372" s="2" t="s">
        <v>681</v>
      </c>
      <c r="I372" s="1">
        <v>7</v>
      </c>
      <c r="J372" s="1">
        <v>10</v>
      </c>
      <c r="L372" s="45">
        <f t="shared" si="27"/>
        <v>45407</v>
      </c>
      <c r="M372" s="46">
        <f t="shared" si="30"/>
        <v>45407</v>
      </c>
      <c r="Q372" s="43">
        <f t="shared" si="28"/>
        <v>0</v>
      </c>
      <c r="R372" s="43">
        <f t="shared" ca="1" si="29"/>
        <v>0</v>
      </c>
      <c r="S372" s="22"/>
      <c r="T372" s="25">
        <v>45400</v>
      </c>
    </row>
    <row r="373" spans="1:20" x14ac:dyDescent="0.3">
      <c r="A373" s="13">
        <v>370</v>
      </c>
      <c r="B373" s="4" t="s">
        <v>703</v>
      </c>
      <c r="C373" s="39">
        <f t="shared" ca="1" si="26"/>
        <v>0</v>
      </c>
      <c r="D373" t="s">
        <v>269</v>
      </c>
      <c r="E373" t="s">
        <v>346</v>
      </c>
      <c r="F373" s="7" t="s">
        <v>78</v>
      </c>
      <c r="G373" s="6" t="s">
        <v>681</v>
      </c>
      <c r="H373" s="2" t="s">
        <v>681</v>
      </c>
      <c r="I373" s="1">
        <v>7</v>
      </c>
      <c r="J373" s="1">
        <v>10</v>
      </c>
      <c r="L373" s="45">
        <f t="shared" si="27"/>
        <v>45408</v>
      </c>
      <c r="M373" s="46">
        <f t="shared" si="30"/>
        <v>45408</v>
      </c>
      <c r="Q373" s="43">
        <f t="shared" si="28"/>
        <v>0</v>
      </c>
      <c r="R373" s="43">
        <f t="shared" ca="1" si="29"/>
        <v>0</v>
      </c>
      <c r="S373" s="22"/>
      <c r="T373" s="25">
        <v>45401</v>
      </c>
    </row>
    <row r="374" spans="1:20" x14ac:dyDescent="0.3">
      <c r="A374" s="13">
        <v>371</v>
      </c>
      <c r="B374" s="4" t="s">
        <v>703</v>
      </c>
      <c r="C374" s="39">
        <f t="shared" ca="1" si="26"/>
        <v>0</v>
      </c>
      <c r="D374" t="s">
        <v>269</v>
      </c>
      <c r="E374" t="s">
        <v>347</v>
      </c>
      <c r="F374" s="7" t="s">
        <v>78</v>
      </c>
      <c r="G374" s="6" t="s">
        <v>681</v>
      </c>
      <c r="H374" s="2" t="s">
        <v>681</v>
      </c>
      <c r="I374" s="1">
        <v>7</v>
      </c>
      <c r="J374" s="1">
        <v>10</v>
      </c>
      <c r="L374" s="45">
        <f t="shared" si="27"/>
        <v>45409</v>
      </c>
      <c r="M374" s="46">
        <f t="shared" si="30"/>
        <v>45409</v>
      </c>
      <c r="Q374" s="43">
        <f t="shared" si="28"/>
        <v>0</v>
      </c>
      <c r="R374" s="43">
        <f t="shared" ca="1" si="29"/>
        <v>0</v>
      </c>
      <c r="S374" s="22"/>
      <c r="T374" s="25">
        <v>45402</v>
      </c>
    </row>
    <row r="375" spans="1:20" x14ac:dyDescent="0.3">
      <c r="A375" s="13">
        <v>372</v>
      </c>
      <c r="B375" s="4" t="s">
        <v>703</v>
      </c>
      <c r="C375" s="39">
        <f t="shared" ca="1" si="26"/>
        <v>0</v>
      </c>
      <c r="D375" t="s">
        <v>269</v>
      </c>
      <c r="E375" t="s">
        <v>348</v>
      </c>
      <c r="F375" s="7" t="s">
        <v>78</v>
      </c>
      <c r="G375" s="6" t="s">
        <v>681</v>
      </c>
      <c r="H375" s="2" t="s">
        <v>681</v>
      </c>
      <c r="I375" s="1">
        <v>7</v>
      </c>
      <c r="J375" s="1">
        <v>10</v>
      </c>
      <c r="L375" s="45">
        <f t="shared" si="27"/>
        <v>45410</v>
      </c>
      <c r="M375" s="46">
        <f t="shared" si="30"/>
        <v>45410</v>
      </c>
      <c r="Q375" s="43">
        <f t="shared" si="28"/>
        <v>0</v>
      </c>
      <c r="R375" s="43">
        <f t="shared" ca="1" si="29"/>
        <v>0</v>
      </c>
      <c r="S375" s="22"/>
      <c r="T375" s="25">
        <v>45403</v>
      </c>
    </row>
    <row r="376" spans="1:20" x14ac:dyDescent="0.3">
      <c r="A376" s="13">
        <v>373</v>
      </c>
      <c r="B376" s="4" t="s">
        <v>703</v>
      </c>
      <c r="C376" s="39">
        <f t="shared" ca="1" si="26"/>
        <v>0</v>
      </c>
      <c r="D376" t="s">
        <v>269</v>
      </c>
      <c r="E376" t="s">
        <v>349</v>
      </c>
      <c r="F376" s="7" t="s">
        <v>78</v>
      </c>
      <c r="G376" s="6" t="s">
        <v>681</v>
      </c>
      <c r="H376" s="2" t="s">
        <v>681</v>
      </c>
      <c r="I376" s="1">
        <v>30</v>
      </c>
      <c r="J376" s="1">
        <v>15</v>
      </c>
      <c r="L376" s="45">
        <f t="shared" si="27"/>
        <v>45434</v>
      </c>
      <c r="M376" s="46">
        <f t="shared" si="30"/>
        <v>45434</v>
      </c>
      <c r="Q376" s="43">
        <f t="shared" si="28"/>
        <v>0</v>
      </c>
      <c r="R376" s="43">
        <f t="shared" ca="1" si="29"/>
        <v>0</v>
      </c>
      <c r="S376" s="22"/>
      <c r="T376" s="25">
        <v>45404</v>
      </c>
    </row>
    <row r="377" spans="1:20" x14ac:dyDescent="0.3">
      <c r="A377" s="13">
        <v>374</v>
      </c>
      <c r="B377" s="4" t="s">
        <v>703</v>
      </c>
      <c r="C377" s="39">
        <f t="shared" ca="1" si="26"/>
        <v>0</v>
      </c>
      <c r="D377" t="s">
        <v>116</v>
      </c>
      <c r="E377" t="s">
        <v>356</v>
      </c>
      <c r="F377" s="7" t="s">
        <v>78</v>
      </c>
      <c r="G377" s="6" t="s">
        <v>681</v>
      </c>
      <c r="H377" s="2" t="s">
        <v>681</v>
      </c>
      <c r="I377" s="1">
        <v>30</v>
      </c>
      <c r="J377" s="1">
        <v>10</v>
      </c>
      <c r="L377" s="45">
        <f t="shared" si="27"/>
        <v>45435</v>
      </c>
      <c r="M377" s="46">
        <f t="shared" si="30"/>
        <v>45435</v>
      </c>
      <c r="Q377" s="43">
        <f t="shared" si="28"/>
        <v>0</v>
      </c>
      <c r="R377" s="43">
        <f t="shared" ca="1" si="29"/>
        <v>0</v>
      </c>
      <c r="S377" s="22"/>
      <c r="T377" s="25">
        <v>45405</v>
      </c>
    </row>
    <row r="378" spans="1:20" x14ac:dyDescent="0.3">
      <c r="A378" s="13">
        <v>375</v>
      </c>
      <c r="B378" s="4" t="s">
        <v>703</v>
      </c>
      <c r="C378" s="39">
        <f t="shared" ca="1" si="26"/>
        <v>0</v>
      </c>
      <c r="D378" t="s">
        <v>270</v>
      </c>
      <c r="E378" t="s">
        <v>25</v>
      </c>
      <c r="F378" s="7" t="s">
        <v>78</v>
      </c>
      <c r="G378" s="6" t="s">
        <v>681</v>
      </c>
      <c r="H378" s="2" t="s">
        <v>681</v>
      </c>
      <c r="I378" s="1">
        <v>30</v>
      </c>
      <c r="J378" s="1">
        <v>5</v>
      </c>
      <c r="L378" s="45">
        <f t="shared" si="27"/>
        <v>45436</v>
      </c>
      <c r="M378" s="46">
        <f t="shared" si="30"/>
        <v>45436</v>
      </c>
      <c r="Q378" s="43">
        <f t="shared" si="28"/>
        <v>0</v>
      </c>
      <c r="R378" s="43">
        <f t="shared" ca="1" si="29"/>
        <v>0</v>
      </c>
      <c r="S378" s="22"/>
      <c r="T378" s="25">
        <v>45406</v>
      </c>
    </row>
    <row r="379" spans="1:20" x14ac:dyDescent="0.3">
      <c r="A379" s="13">
        <v>376</v>
      </c>
      <c r="B379" s="4" t="s">
        <v>703</v>
      </c>
      <c r="C379" s="39">
        <f t="shared" ca="1" si="26"/>
        <v>0</v>
      </c>
      <c r="D379" t="s">
        <v>270</v>
      </c>
      <c r="E379" t="s">
        <v>26</v>
      </c>
      <c r="F379" s="7" t="s">
        <v>78</v>
      </c>
      <c r="G379" s="6" t="s">
        <v>681</v>
      </c>
      <c r="H379" s="2" t="s">
        <v>681</v>
      </c>
      <c r="I379" s="1">
        <v>30</v>
      </c>
      <c r="J379" s="1">
        <v>5</v>
      </c>
      <c r="L379" s="45">
        <f t="shared" si="27"/>
        <v>45437</v>
      </c>
      <c r="M379" s="46">
        <f t="shared" si="30"/>
        <v>45437</v>
      </c>
      <c r="Q379" s="43">
        <f t="shared" si="28"/>
        <v>0</v>
      </c>
      <c r="R379" s="43">
        <f t="shared" ca="1" si="29"/>
        <v>0</v>
      </c>
      <c r="S379" s="22"/>
      <c r="T379" s="25">
        <v>45407</v>
      </c>
    </row>
    <row r="380" spans="1:20" x14ac:dyDescent="0.3">
      <c r="A380" s="13">
        <v>377</v>
      </c>
      <c r="B380" s="4" t="s">
        <v>703</v>
      </c>
      <c r="C380" s="39">
        <f t="shared" ca="1" si="26"/>
        <v>0</v>
      </c>
      <c r="D380" t="s">
        <v>271</v>
      </c>
      <c r="E380" t="s">
        <v>25</v>
      </c>
      <c r="F380" s="7" t="s">
        <v>78</v>
      </c>
      <c r="G380" s="6" t="s">
        <v>681</v>
      </c>
      <c r="H380" s="2" t="s">
        <v>681</v>
      </c>
      <c r="I380" s="1">
        <v>30</v>
      </c>
      <c r="J380" s="1">
        <v>5</v>
      </c>
      <c r="L380" s="45">
        <f t="shared" si="27"/>
        <v>45438</v>
      </c>
      <c r="M380" s="46">
        <f t="shared" si="30"/>
        <v>45438</v>
      </c>
      <c r="Q380" s="43">
        <f t="shared" si="28"/>
        <v>0</v>
      </c>
      <c r="R380" s="43">
        <f t="shared" ca="1" si="29"/>
        <v>0</v>
      </c>
      <c r="S380" s="22"/>
      <c r="T380" s="25">
        <v>45408</v>
      </c>
    </row>
    <row r="381" spans="1:20" x14ac:dyDescent="0.3">
      <c r="A381" s="13">
        <v>378</v>
      </c>
      <c r="B381" s="4" t="s">
        <v>703</v>
      </c>
      <c r="C381" s="39">
        <f t="shared" ca="1" si="26"/>
        <v>0</v>
      </c>
      <c r="D381" t="s">
        <v>271</v>
      </c>
      <c r="E381" t="s">
        <v>26</v>
      </c>
      <c r="F381" s="7" t="s">
        <v>78</v>
      </c>
      <c r="G381" s="6" t="s">
        <v>681</v>
      </c>
      <c r="H381" s="2" t="s">
        <v>681</v>
      </c>
      <c r="I381" s="1">
        <v>30</v>
      </c>
      <c r="J381" s="1">
        <v>5</v>
      </c>
      <c r="L381" s="45">
        <f t="shared" si="27"/>
        <v>45439</v>
      </c>
      <c r="M381" s="46">
        <f t="shared" si="30"/>
        <v>45439</v>
      </c>
      <c r="Q381" s="43">
        <f t="shared" si="28"/>
        <v>0</v>
      </c>
      <c r="R381" s="43">
        <f t="shared" ca="1" si="29"/>
        <v>0</v>
      </c>
      <c r="S381" s="22"/>
      <c r="T381" s="25">
        <v>45409</v>
      </c>
    </row>
    <row r="382" spans="1:20" x14ac:dyDescent="0.3">
      <c r="A382" s="13">
        <v>379</v>
      </c>
      <c r="B382" s="1" t="s">
        <v>704</v>
      </c>
      <c r="C382" s="39">
        <f t="shared" ca="1" si="26"/>
        <v>0</v>
      </c>
      <c r="D382" t="s">
        <v>117</v>
      </c>
      <c r="E382" t="s">
        <v>10</v>
      </c>
      <c r="F382" s="7" t="s">
        <v>78</v>
      </c>
      <c r="G382" s="6" t="s">
        <v>681</v>
      </c>
      <c r="H382" s="2" t="s">
        <v>681</v>
      </c>
      <c r="I382" s="1">
        <v>30</v>
      </c>
      <c r="J382" s="1">
        <v>5</v>
      </c>
      <c r="L382" s="45">
        <f t="shared" si="27"/>
        <v>45440</v>
      </c>
      <c r="M382" s="46">
        <f t="shared" si="30"/>
        <v>45440</v>
      </c>
      <c r="Q382" s="43">
        <f t="shared" si="28"/>
        <v>0</v>
      </c>
      <c r="R382" s="43">
        <f t="shared" ca="1" si="29"/>
        <v>0</v>
      </c>
      <c r="S382" s="22"/>
      <c r="T382" s="25">
        <v>45410</v>
      </c>
    </row>
    <row r="383" spans="1:20" x14ac:dyDescent="0.3">
      <c r="A383" s="13">
        <v>380</v>
      </c>
      <c r="B383" s="1" t="s">
        <v>704</v>
      </c>
      <c r="C383" s="39">
        <f t="shared" ca="1" si="26"/>
        <v>0</v>
      </c>
      <c r="D383" t="s">
        <v>117</v>
      </c>
      <c r="E383" t="s">
        <v>11</v>
      </c>
      <c r="F383" s="7" t="s">
        <v>78</v>
      </c>
      <c r="G383" s="6" t="s">
        <v>681</v>
      </c>
      <c r="H383" s="2" t="s">
        <v>681</v>
      </c>
      <c r="I383" s="1">
        <v>30</v>
      </c>
      <c r="J383" s="1">
        <v>5</v>
      </c>
      <c r="L383" s="45">
        <f t="shared" si="27"/>
        <v>45441</v>
      </c>
      <c r="M383" s="46">
        <f t="shared" si="30"/>
        <v>45441</v>
      </c>
      <c r="Q383" s="43">
        <f t="shared" si="28"/>
        <v>0</v>
      </c>
      <c r="R383" s="43">
        <f t="shared" ca="1" si="29"/>
        <v>0</v>
      </c>
      <c r="S383" s="22"/>
      <c r="T383" s="25">
        <v>45411</v>
      </c>
    </row>
    <row r="384" spans="1:20" x14ac:dyDescent="0.3">
      <c r="A384" s="13">
        <v>381</v>
      </c>
      <c r="B384" s="1" t="s">
        <v>704</v>
      </c>
      <c r="C384" s="39">
        <f t="shared" ca="1" si="26"/>
        <v>0</v>
      </c>
      <c r="D384" t="s">
        <v>117</v>
      </c>
      <c r="E384" t="s">
        <v>12</v>
      </c>
      <c r="F384" s="7" t="s">
        <v>78</v>
      </c>
      <c r="G384" s="6" t="s">
        <v>681</v>
      </c>
      <c r="H384" s="2" t="s">
        <v>681</v>
      </c>
      <c r="I384" s="1">
        <v>30</v>
      </c>
      <c r="J384" s="1">
        <v>5</v>
      </c>
      <c r="L384" s="45">
        <f t="shared" si="27"/>
        <v>45442</v>
      </c>
      <c r="M384" s="46">
        <f t="shared" si="30"/>
        <v>45442</v>
      </c>
      <c r="Q384" s="43">
        <f t="shared" si="28"/>
        <v>0</v>
      </c>
      <c r="R384" s="43">
        <f t="shared" ca="1" si="29"/>
        <v>0</v>
      </c>
      <c r="S384" s="22"/>
      <c r="T384" s="25">
        <v>45412</v>
      </c>
    </row>
    <row r="385" spans="1:20" x14ac:dyDescent="0.3">
      <c r="A385" s="13">
        <v>382</v>
      </c>
      <c r="B385" s="1" t="s">
        <v>704</v>
      </c>
      <c r="C385" s="39">
        <f t="shared" ca="1" si="26"/>
        <v>0</v>
      </c>
      <c r="D385" t="s">
        <v>117</v>
      </c>
      <c r="E385" t="s">
        <v>170</v>
      </c>
      <c r="F385" s="7" t="s">
        <v>78</v>
      </c>
      <c r="G385" s="6" t="s">
        <v>681</v>
      </c>
      <c r="H385" s="2" t="s">
        <v>681</v>
      </c>
      <c r="I385" s="1">
        <v>30</v>
      </c>
      <c r="J385" s="1">
        <v>5</v>
      </c>
      <c r="L385" s="45">
        <f t="shared" si="27"/>
        <v>45443</v>
      </c>
      <c r="M385" s="46">
        <f t="shared" si="30"/>
        <v>45443</v>
      </c>
      <c r="Q385" s="43">
        <f t="shared" si="28"/>
        <v>0</v>
      </c>
      <c r="R385" s="43">
        <f t="shared" ca="1" si="29"/>
        <v>0</v>
      </c>
      <c r="S385" s="22"/>
      <c r="T385" s="25">
        <v>45413</v>
      </c>
    </row>
    <row r="386" spans="1:20" x14ac:dyDescent="0.3">
      <c r="A386" s="13">
        <v>383</v>
      </c>
      <c r="B386" s="1" t="s">
        <v>704</v>
      </c>
      <c r="C386" s="39">
        <f t="shared" ca="1" si="26"/>
        <v>0</v>
      </c>
      <c r="D386" t="s">
        <v>117</v>
      </c>
      <c r="E386" t="s">
        <v>357</v>
      </c>
      <c r="F386" s="7" t="s">
        <v>78</v>
      </c>
      <c r="G386" s="6" t="s">
        <v>681</v>
      </c>
      <c r="H386" s="2" t="s">
        <v>681</v>
      </c>
      <c r="I386" s="1">
        <v>30</v>
      </c>
      <c r="J386" s="1">
        <v>5</v>
      </c>
      <c r="L386" s="45">
        <f t="shared" si="27"/>
        <v>45444</v>
      </c>
      <c r="M386" s="46">
        <f t="shared" si="30"/>
        <v>45444</v>
      </c>
      <c r="Q386" s="43">
        <f t="shared" si="28"/>
        <v>0</v>
      </c>
      <c r="R386" s="43">
        <f t="shared" ca="1" si="29"/>
        <v>0</v>
      </c>
      <c r="S386" s="22"/>
      <c r="T386" s="25">
        <v>45414</v>
      </c>
    </row>
    <row r="387" spans="1:20" x14ac:dyDescent="0.3">
      <c r="A387" s="13">
        <v>384</v>
      </c>
      <c r="B387" s="1" t="s">
        <v>704</v>
      </c>
      <c r="C387" s="39">
        <f t="shared" ca="1" si="26"/>
        <v>0</v>
      </c>
      <c r="D387" t="s">
        <v>117</v>
      </c>
      <c r="E387" t="s">
        <v>171</v>
      </c>
      <c r="F387" s="7" t="s">
        <v>78</v>
      </c>
      <c r="G387" s="6" t="s">
        <v>681</v>
      </c>
      <c r="H387" s="2" t="s">
        <v>681</v>
      </c>
      <c r="I387" s="1">
        <v>30</v>
      </c>
      <c r="J387" s="1">
        <v>5</v>
      </c>
      <c r="L387" s="45">
        <f t="shared" si="27"/>
        <v>45445</v>
      </c>
      <c r="M387" s="46">
        <f t="shared" si="30"/>
        <v>45445</v>
      </c>
      <c r="Q387" s="43">
        <f t="shared" si="28"/>
        <v>0</v>
      </c>
      <c r="R387" s="43">
        <f t="shared" ca="1" si="29"/>
        <v>0</v>
      </c>
      <c r="S387" s="22"/>
      <c r="T387" s="25">
        <v>45415</v>
      </c>
    </row>
    <row r="388" spans="1:20" x14ac:dyDescent="0.3">
      <c r="A388" s="13">
        <v>385</v>
      </c>
      <c r="B388" s="1" t="s">
        <v>704</v>
      </c>
      <c r="C388" s="39">
        <f t="shared" ca="1" si="26"/>
        <v>0</v>
      </c>
      <c r="D388" t="s">
        <v>270</v>
      </c>
      <c r="E388" t="s">
        <v>25</v>
      </c>
      <c r="F388" s="7" t="s">
        <v>78</v>
      </c>
      <c r="G388" s="6" t="s">
        <v>681</v>
      </c>
      <c r="H388" s="2" t="s">
        <v>681</v>
      </c>
      <c r="I388" s="1">
        <v>30</v>
      </c>
      <c r="J388" s="1">
        <v>5</v>
      </c>
      <c r="L388" s="45">
        <f t="shared" si="27"/>
        <v>45446</v>
      </c>
      <c r="M388" s="46">
        <f t="shared" si="30"/>
        <v>45446</v>
      </c>
      <c r="Q388" s="43">
        <f t="shared" si="28"/>
        <v>0</v>
      </c>
      <c r="R388" s="43">
        <f t="shared" ca="1" si="29"/>
        <v>0</v>
      </c>
      <c r="S388" s="22"/>
      <c r="T388" s="25">
        <v>45416</v>
      </c>
    </row>
    <row r="389" spans="1:20" x14ac:dyDescent="0.3">
      <c r="A389" s="13">
        <v>386</v>
      </c>
      <c r="B389" s="1" t="s">
        <v>704</v>
      </c>
      <c r="C389" s="39">
        <f t="shared" ref="C389:C452" ca="1" si="31">IF(L389&lt;=$A$2,1,0)</f>
        <v>1</v>
      </c>
      <c r="D389" t="s">
        <v>270</v>
      </c>
      <c r="E389" t="s">
        <v>26</v>
      </c>
      <c r="F389" s="7" t="s">
        <v>78</v>
      </c>
      <c r="G389" s="6" t="s">
        <v>681</v>
      </c>
      <c r="H389" s="2" t="s">
        <v>681</v>
      </c>
      <c r="I389" s="1">
        <v>30</v>
      </c>
      <c r="J389" s="1">
        <v>5</v>
      </c>
      <c r="L389" s="45">
        <f t="shared" ref="L389:L452" si="32">IF(N389="",M389,N389)</f>
        <v>45084</v>
      </c>
      <c r="M389" s="46">
        <f t="shared" si="30"/>
        <v>45447</v>
      </c>
      <c r="N389" s="50">
        <v>45084</v>
      </c>
      <c r="Q389" s="43">
        <f t="shared" ref="Q389:Q452" si="33">IF(O389&lt;&gt;0,1,0)</f>
        <v>0</v>
      </c>
      <c r="R389" s="43">
        <f t="shared" ref="R389:R452" ca="1" si="34">IF(AND(L389&lt;($A$2+7), L389&gt;($A$2+6)),1,0)</f>
        <v>0</v>
      </c>
      <c r="S389" s="22"/>
      <c r="T389" s="25">
        <v>45417</v>
      </c>
    </row>
    <row r="390" spans="1:20" x14ac:dyDescent="0.3">
      <c r="A390" s="13">
        <v>387</v>
      </c>
      <c r="B390" s="1" t="s">
        <v>704</v>
      </c>
      <c r="C390" s="39">
        <f t="shared" ca="1" si="31"/>
        <v>0</v>
      </c>
      <c r="D390" t="s">
        <v>271</v>
      </c>
      <c r="E390" t="s">
        <v>25</v>
      </c>
      <c r="F390" s="7" t="s">
        <v>78</v>
      </c>
      <c r="G390" s="6" t="s">
        <v>681</v>
      </c>
      <c r="H390" s="2" t="s">
        <v>681</v>
      </c>
      <c r="I390" s="1">
        <v>30</v>
      </c>
      <c r="J390" s="1">
        <v>5</v>
      </c>
      <c r="L390" s="45">
        <f t="shared" si="32"/>
        <v>45448</v>
      </c>
      <c r="M390" s="46">
        <f t="shared" si="30"/>
        <v>45448</v>
      </c>
      <c r="Q390" s="43">
        <f t="shared" si="33"/>
        <v>0</v>
      </c>
      <c r="R390" s="43">
        <f t="shared" ca="1" si="34"/>
        <v>0</v>
      </c>
      <c r="S390" s="22"/>
      <c r="T390" s="25">
        <v>45418</v>
      </c>
    </row>
    <row r="391" spans="1:20" x14ac:dyDescent="0.3">
      <c r="A391" s="13">
        <v>388</v>
      </c>
      <c r="B391" s="1" t="s">
        <v>704</v>
      </c>
      <c r="C391" s="39">
        <f t="shared" ca="1" si="31"/>
        <v>0</v>
      </c>
      <c r="D391" t="s">
        <v>271</v>
      </c>
      <c r="E391" t="s">
        <v>26</v>
      </c>
      <c r="F391" s="7" t="s">
        <v>78</v>
      </c>
      <c r="G391" s="6" t="s">
        <v>681</v>
      </c>
      <c r="H391" s="2" t="s">
        <v>681</v>
      </c>
      <c r="I391" s="1">
        <v>30</v>
      </c>
      <c r="J391" s="1">
        <v>5</v>
      </c>
      <c r="L391" s="45">
        <f t="shared" si="32"/>
        <v>45449</v>
      </c>
      <c r="M391" s="46">
        <f t="shared" si="30"/>
        <v>45449</v>
      </c>
      <c r="Q391" s="43">
        <f t="shared" si="33"/>
        <v>0</v>
      </c>
      <c r="R391" s="43">
        <f t="shared" ca="1" si="34"/>
        <v>0</v>
      </c>
      <c r="S391" s="22"/>
      <c r="T391" s="25">
        <v>45419</v>
      </c>
    </row>
    <row r="392" spans="1:20" x14ac:dyDescent="0.3">
      <c r="A392" s="13">
        <v>389</v>
      </c>
      <c r="B392" s="1" t="s">
        <v>704</v>
      </c>
      <c r="C392" s="39">
        <f t="shared" ca="1" si="31"/>
        <v>0</v>
      </c>
      <c r="D392" t="s">
        <v>272</v>
      </c>
      <c r="E392" t="s">
        <v>143</v>
      </c>
      <c r="F392" s="7" t="s">
        <v>78</v>
      </c>
      <c r="G392" s="6" t="s">
        <v>681</v>
      </c>
      <c r="H392" s="2" t="s">
        <v>681</v>
      </c>
      <c r="I392" s="1">
        <v>90</v>
      </c>
      <c r="J392" s="1">
        <v>10</v>
      </c>
      <c r="L392" s="45">
        <f t="shared" si="32"/>
        <v>45510</v>
      </c>
      <c r="M392" s="46">
        <f t="shared" si="30"/>
        <v>45510</v>
      </c>
      <c r="Q392" s="43">
        <f t="shared" si="33"/>
        <v>0</v>
      </c>
      <c r="R392" s="43">
        <f t="shared" ca="1" si="34"/>
        <v>0</v>
      </c>
      <c r="S392" s="22"/>
      <c r="T392" s="25">
        <v>45420</v>
      </c>
    </row>
    <row r="393" spans="1:20" x14ac:dyDescent="0.3">
      <c r="A393" s="13">
        <v>390</v>
      </c>
      <c r="B393" s="1" t="s">
        <v>704</v>
      </c>
      <c r="C393" s="39">
        <f t="shared" ca="1" si="31"/>
        <v>0</v>
      </c>
      <c r="D393" t="s">
        <v>272</v>
      </c>
      <c r="E393" t="s">
        <v>333</v>
      </c>
      <c r="F393" s="7" t="s">
        <v>78</v>
      </c>
      <c r="G393" s="6" t="s">
        <v>681</v>
      </c>
      <c r="H393" s="2" t="s">
        <v>681</v>
      </c>
      <c r="I393" s="1">
        <v>90</v>
      </c>
      <c r="J393" s="1">
        <v>10</v>
      </c>
      <c r="L393" s="45">
        <f t="shared" si="32"/>
        <v>45511</v>
      </c>
      <c r="M393" s="46">
        <f t="shared" si="30"/>
        <v>45511</v>
      </c>
      <c r="Q393" s="43">
        <f t="shared" si="33"/>
        <v>0</v>
      </c>
      <c r="R393" s="43">
        <f t="shared" ca="1" si="34"/>
        <v>0</v>
      </c>
      <c r="S393" s="22"/>
      <c r="T393" s="25">
        <v>45421</v>
      </c>
    </row>
    <row r="394" spans="1:20" x14ac:dyDescent="0.3">
      <c r="A394" s="13">
        <v>391</v>
      </c>
      <c r="B394" s="1" t="s">
        <v>704</v>
      </c>
      <c r="C394" s="39">
        <f t="shared" ca="1" si="31"/>
        <v>0</v>
      </c>
      <c r="D394" t="s">
        <v>272</v>
      </c>
      <c r="E394" t="s">
        <v>358</v>
      </c>
      <c r="F394" s="7" t="s">
        <v>78</v>
      </c>
      <c r="G394" s="6" t="s">
        <v>681</v>
      </c>
      <c r="H394" s="2" t="s">
        <v>681</v>
      </c>
      <c r="I394" s="1">
        <v>90</v>
      </c>
      <c r="J394" s="1">
        <v>10</v>
      </c>
      <c r="L394" s="45">
        <f t="shared" si="32"/>
        <v>45512</v>
      </c>
      <c r="M394" s="46">
        <f t="shared" si="30"/>
        <v>45512</v>
      </c>
      <c r="Q394" s="43">
        <f t="shared" si="33"/>
        <v>0</v>
      </c>
      <c r="R394" s="43">
        <f t="shared" ca="1" si="34"/>
        <v>0</v>
      </c>
      <c r="S394" s="22"/>
      <c r="T394" s="25">
        <v>45422</v>
      </c>
    </row>
    <row r="395" spans="1:20" x14ac:dyDescent="0.3">
      <c r="A395" s="13">
        <v>392</v>
      </c>
      <c r="B395" s="1" t="s">
        <v>704</v>
      </c>
      <c r="C395" s="39">
        <f t="shared" ca="1" si="31"/>
        <v>0</v>
      </c>
      <c r="D395" t="s">
        <v>272</v>
      </c>
      <c r="E395" t="s">
        <v>359</v>
      </c>
      <c r="F395" s="7" t="s">
        <v>78</v>
      </c>
      <c r="G395" s="6" t="s">
        <v>681</v>
      </c>
      <c r="H395" s="2" t="s">
        <v>681</v>
      </c>
      <c r="I395" s="1">
        <v>90</v>
      </c>
      <c r="J395" s="1">
        <v>10</v>
      </c>
      <c r="L395" s="45">
        <f t="shared" si="32"/>
        <v>45513</v>
      </c>
      <c r="M395" s="46">
        <f t="shared" si="30"/>
        <v>45513</v>
      </c>
      <c r="Q395" s="43">
        <f t="shared" si="33"/>
        <v>0</v>
      </c>
      <c r="R395" s="43">
        <f t="shared" ca="1" si="34"/>
        <v>0</v>
      </c>
      <c r="S395" s="22"/>
      <c r="T395" s="25">
        <v>45423</v>
      </c>
    </row>
    <row r="396" spans="1:20" x14ac:dyDescent="0.3">
      <c r="A396" s="13">
        <v>393</v>
      </c>
      <c r="B396" s="1" t="s">
        <v>704</v>
      </c>
      <c r="C396" s="39">
        <f t="shared" ca="1" si="31"/>
        <v>0</v>
      </c>
      <c r="D396" t="s">
        <v>273</v>
      </c>
      <c r="E396" t="s">
        <v>360</v>
      </c>
      <c r="F396" s="7" t="s">
        <v>78</v>
      </c>
      <c r="G396" s="6" t="s">
        <v>681</v>
      </c>
      <c r="H396" s="2" t="s">
        <v>681</v>
      </c>
      <c r="I396" s="1">
        <v>90</v>
      </c>
      <c r="J396" s="1">
        <v>10</v>
      </c>
      <c r="L396" s="45">
        <f t="shared" si="32"/>
        <v>45514</v>
      </c>
      <c r="M396" s="46">
        <f t="shared" si="30"/>
        <v>45514</v>
      </c>
      <c r="Q396" s="43">
        <f t="shared" si="33"/>
        <v>0</v>
      </c>
      <c r="R396" s="43">
        <f t="shared" ca="1" si="34"/>
        <v>0</v>
      </c>
      <c r="S396" s="22"/>
      <c r="T396" s="25">
        <v>45424</v>
      </c>
    </row>
    <row r="397" spans="1:20" x14ac:dyDescent="0.3">
      <c r="A397" s="13">
        <v>394</v>
      </c>
      <c r="B397" s="1" t="s">
        <v>704</v>
      </c>
      <c r="C397" s="39">
        <f t="shared" ca="1" si="31"/>
        <v>0</v>
      </c>
      <c r="D397" t="s">
        <v>273</v>
      </c>
      <c r="E397" t="s">
        <v>143</v>
      </c>
      <c r="F397" s="7" t="s">
        <v>78</v>
      </c>
      <c r="G397" s="6" t="s">
        <v>681</v>
      </c>
      <c r="H397" s="2" t="s">
        <v>681</v>
      </c>
      <c r="I397" s="1">
        <v>90</v>
      </c>
      <c r="J397" s="1">
        <v>10</v>
      </c>
      <c r="L397" s="45">
        <f t="shared" si="32"/>
        <v>45515</v>
      </c>
      <c r="M397" s="46">
        <f t="shared" si="30"/>
        <v>45515</v>
      </c>
      <c r="Q397" s="43">
        <f t="shared" si="33"/>
        <v>0</v>
      </c>
      <c r="R397" s="43">
        <f t="shared" ca="1" si="34"/>
        <v>0</v>
      </c>
      <c r="S397" s="22"/>
      <c r="T397" s="25">
        <v>45425</v>
      </c>
    </row>
    <row r="398" spans="1:20" x14ac:dyDescent="0.3">
      <c r="A398" s="13">
        <v>395</v>
      </c>
      <c r="B398" s="1" t="s">
        <v>704</v>
      </c>
      <c r="C398" s="39">
        <f t="shared" ca="1" si="31"/>
        <v>0</v>
      </c>
      <c r="D398" t="s">
        <v>273</v>
      </c>
      <c r="E398" t="s">
        <v>339</v>
      </c>
      <c r="F398" s="7" t="s">
        <v>78</v>
      </c>
      <c r="G398" s="6" t="s">
        <v>681</v>
      </c>
      <c r="H398" s="2" t="s">
        <v>681</v>
      </c>
      <c r="I398" s="1">
        <v>90</v>
      </c>
      <c r="J398" s="1">
        <v>10</v>
      </c>
      <c r="L398" s="45">
        <f t="shared" si="32"/>
        <v>45516</v>
      </c>
      <c r="M398" s="46">
        <f t="shared" si="30"/>
        <v>45516</v>
      </c>
      <c r="Q398" s="43">
        <f t="shared" si="33"/>
        <v>0</v>
      </c>
      <c r="R398" s="43">
        <f t="shared" ca="1" si="34"/>
        <v>0</v>
      </c>
      <c r="S398" s="22"/>
      <c r="T398" s="25">
        <v>45426</v>
      </c>
    </row>
    <row r="399" spans="1:20" x14ac:dyDescent="0.3">
      <c r="A399" s="13">
        <v>396</v>
      </c>
      <c r="B399" s="1" t="s">
        <v>704</v>
      </c>
      <c r="C399" s="39">
        <f t="shared" ca="1" si="31"/>
        <v>0</v>
      </c>
      <c r="D399" t="s">
        <v>274</v>
      </c>
      <c r="E399" t="s">
        <v>24</v>
      </c>
      <c r="F399" s="7" t="s">
        <v>78</v>
      </c>
      <c r="G399" s="6" t="s">
        <v>681</v>
      </c>
      <c r="H399" s="2" t="s">
        <v>681</v>
      </c>
      <c r="I399" s="1">
        <v>90</v>
      </c>
      <c r="J399" s="1">
        <v>10</v>
      </c>
      <c r="L399" s="45">
        <f t="shared" si="32"/>
        <v>45517</v>
      </c>
      <c r="M399" s="46">
        <f t="shared" si="30"/>
        <v>45517</v>
      </c>
      <c r="Q399" s="43">
        <f t="shared" si="33"/>
        <v>0</v>
      </c>
      <c r="R399" s="43">
        <f t="shared" ca="1" si="34"/>
        <v>0</v>
      </c>
      <c r="S399" s="22"/>
      <c r="T399" s="25">
        <v>45427</v>
      </c>
    </row>
    <row r="400" spans="1:20" x14ac:dyDescent="0.3">
      <c r="A400" s="13">
        <v>397</v>
      </c>
      <c r="B400" s="1" t="s">
        <v>704</v>
      </c>
      <c r="C400" s="39">
        <f t="shared" ca="1" si="31"/>
        <v>0</v>
      </c>
      <c r="D400" t="s">
        <v>274</v>
      </c>
      <c r="E400" t="s">
        <v>361</v>
      </c>
      <c r="F400" s="7" t="s">
        <v>78</v>
      </c>
      <c r="G400" s="6" t="s">
        <v>681</v>
      </c>
      <c r="H400" s="2" t="s">
        <v>681</v>
      </c>
      <c r="I400" s="1">
        <v>90</v>
      </c>
      <c r="J400" s="1">
        <v>10</v>
      </c>
      <c r="L400" s="45">
        <f t="shared" si="32"/>
        <v>45518</v>
      </c>
      <c r="M400" s="46">
        <f t="shared" si="30"/>
        <v>45518</v>
      </c>
      <c r="Q400" s="43">
        <f t="shared" si="33"/>
        <v>0</v>
      </c>
      <c r="R400" s="43">
        <f t="shared" ca="1" si="34"/>
        <v>0</v>
      </c>
      <c r="S400" s="22"/>
      <c r="T400" s="25">
        <v>45428</v>
      </c>
    </row>
    <row r="401" spans="1:20" x14ac:dyDescent="0.3">
      <c r="A401" s="13">
        <v>398</v>
      </c>
      <c r="B401" s="1" t="s">
        <v>704</v>
      </c>
      <c r="C401" s="39">
        <f t="shared" ca="1" si="31"/>
        <v>0</v>
      </c>
      <c r="D401" t="s">
        <v>275</v>
      </c>
      <c r="E401" t="s">
        <v>337</v>
      </c>
      <c r="F401" s="7" t="s">
        <v>78</v>
      </c>
      <c r="G401" s="6" t="s">
        <v>681</v>
      </c>
      <c r="H401" s="2" t="s">
        <v>681</v>
      </c>
      <c r="I401" s="1">
        <v>30</v>
      </c>
      <c r="J401" s="1">
        <v>10</v>
      </c>
      <c r="L401" s="45">
        <f t="shared" si="32"/>
        <v>45459</v>
      </c>
      <c r="M401" s="46">
        <f t="shared" si="30"/>
        <v>45459</v>
      </c>
      <c r="Q401" s="43">
        <f t="shared" si="33"/>
        <v>0</v>
      </c>
      <c r="R401" s="43">
        <f t="shared" ca="1" si="34"/>
        <v>0</v>
      </c>
      <c r="S401" s="22"/>
      <c r="T401" s="25">
        <v>45429</v>
      </c>
    </row>
    <row r="402" spans="1:20" x14ac:dyDescent="0.3">
      <c r="A402" s="13">
        <v>399</v>
      </c>
      <c r="B402" s="1" t="s">
        <v>704</v>
      </c>
      <c r="C402" s="39">
        <f t="shared" ca="1" si="31"/>
        <v>0</v>
      </c>
      <c r="D402" t="s">
        <v>275</v>
      </c>
      <c r="E402" t="s">
        <v>152</v>
      </c>
      <c r="F402" s="7" t="s">
        <v>78</v>
      </c>
      <c r="G402" s="6" t="s">
        <v>681</v>
      </c>
      <c r="H402" s="2" t="s">
        <v>681</v>
      </c>
      <c r="I402" s="1">
        <v>30</v>
      </c>
      <c r="J402" s="1">
        <v>10</v>
      </c>
      <c r="L402" s="45">
        <f t="shared" si="32"/>
        <v>45460</v>
      </c>
      <c r="M402" s="46">
        <f t="shared" si="30"/>
        <v>45460</v>
      </c>
      <c r="Q402" s="43">
        <f t="shared" si="33"/>
        <v>0</v>
      </c>
      <c r="R402" s="43">
        <f t="shared" ca="1" si="34"/>
        <v>0</v>
      </c>
      <c r="S402" s="22"/>
      <c r="T402" s="25">
        <v>45430</v>
      </c>
    </row>
    <row r="403" spans="1:20" x14ac:dyDescent="0.3">
      <c r="A403" s="13">
        <v>400</v>
      </c>
      <c r="B403" s="1" t="s">
        <v>704</v>
      </c>
      <c r="C403" s="39">
        <f t="shared" ca="1" si="31"/>
        <v>0</v>
      </c>
      <c r="D403" t="s">
        <v>275</v>
      </c>
      <c r="E403" t="s">
        <v>143</v>
      </c>
      <c r="F403" s="7" t="s">
        <v>78</v>
      </c>
      <c r="G403" s="6" t="s">
        <v>681</v>
      </c>
      <c r="H403" s="2" t="s">
        <v>681</v>
      </c>
      <c r="I403" s="1">
        <v>30</v>
      </c>
      <c r="J403" s="1">
        <v>10</v>
      </c>
      <c r="L403" s="45">
        <f t="shared" si="32"/>
        <v>45461</v>
      </c>
      <c r="M403" s="46">
        <f t="shared" si="30"/>
        <v>45461</v>
      </c>
      <c r="Q403" s="43">
        <f t="shared" si="33"/>
        <v>0</v>
      </c>
      <c r="R403" s="43">
        <f t="shared" ca="1" si="34"/>
        <v>0</v>
      </c>
      <c r="S403" s="22"/>
      <c r="T403" s="25">
        <v>45431</v>
      </c>
    </row>
    <row r="404" spans="1:20" x14ac:dyDescent="0.3">
      <c r="A404" s="13">
        <v>401</v>
      </c>
      <c r="B404" s="1" t="s">
        <v>704</v>
      </c>
      <c r="C404" s="39">
        <f t="shared" ca="1" si="31"/>
        <v>1</v>
      </c>
      <c r="D404" t="s">
        <v>275</v>
      </c>
      <c r="E404" t="s">
        <v>333</v>
      </c>
      <c r="F404" s="7" t="s">
        <v>78</v>
      </c>
      <c r="G404" s="6" t="s">
        <v>681</v>
      </c>
      <c r="H404" s="2" t="s">
        <v>681</v>
      </c>
      <c r="I404" s="1">
        <v>30</v>
      </c>
      <c r="J404" s="1">
        <v>10</v>
      </c>
      <c r="L404" s="45">
        <f t="shared" si="32"/>
        <v>45084</v>
      </c>
      <c r="M404" s="46">
        <f t="shared" si="30"/>
        <v>45462</v>
      </c>
      <c r="N404" s="50">
        <v>45084</v>
      </c>
      <c r="Q404" s="43">
        <f t="shared" si="33"/>
        <v>0</v>
      </c>
      <c r="R404" s="43">
        <f t="shared" ca="1" si="34"/>
        <v>0</v>
      </c>
      <c r="S404" s="22"/>
      <c r="T404" s="25">
        <v>45432</v>
      </c>
    </row>
    <row r="405" spans="1:20" x14ac:dyDescent="0.3">
      <c r="A405" s="13">
        <v>402</v>
      </c>
      <c r="B405" s="1" t="s">
        <v>704</v>
      </c>
      <c r="C405" s="39">
        <f t="shared" ca="1" si="31"/>
        <v>0</v>
      </c>
      <c r="D405" t="s">
        <v>275</v>
      </c>
      <c r="E405" t="s">
        <v>362</v>
      </c>
      <c r="F405" s="7" t="s">
        <v>78</v>
      </c>
      <c r="G405" s="6" t="s">
        <v>681</v>
      </c>
      <c r="H405" s="2" t="s">
        <v>681</v>
      </c>
      <c r="I405" s="1">
        <v>30</v>
      </c>
      <c r="J405" s="1">
        <v>10</v>
      </c>
      <c r="L405" s="45">
        <f t="shared" si="32"/>
        <v>45463</v>
      </c>
      <c r="M405" s="46">
        <f t="shared" si="30"/>
        <v>45463</v>
      </c>
      <c r="Q405" s="43">
        <f t="shared" si="33"/>
        <v>0</v>
      </c>
      <c r="R405" s="43">
        <f t="shared" ca="1" si="34"/>
        <v>0</v>
      </c>
      <c r="S405" s="22"/>
      <c r="T405" s="25">
        <v>45433</v>
      </c>
    </row>
    <row r="406" spans="1:20" x14ac:dyDescent="0.3">
      <c r="A406" s="13">
        <v>403</v>
      </c>
      <c r="B406" s="1" t="s">
        <v>704</v>
      </c>
      <c r="C406" s="39">
        <f t="shared" ca="1" si="31"/>
        <v>0</v>
      </c>
      <c r="D406" t="s">
        <v>275</v>
      </c>
      <c r="E406" t="s">
        <v>144</v>
      </c>
      <c r="F406" s="7" t="s">
        <v>78</v>
      </c>
      <c r="G406" s="6" t="s">
        <v>681</v>
      </c>
      <c r="H406" s="2" t="s">
        <v>681</v>
      </c>
      <c r="I406" s="1">
        <v>30</v>
      </c>
      <c r="J406" s="1">
        <v>5</v>
      </c>
      <c r="L406" s="45">
        <f t="shared" si="32"/>
        <v>45464</v>
      </c>
      <c r="M406" s="46">
        <f t="shared" si="30"/>
        <v>45464</v>
      </c>
      <c r="Q406" s="43">
        <f t="shared" si="33"/>
        <v>0</v>
      </c>
      <c r="R406" s="43">
        <f t="shared" ca="1" si="34"/>
        <v>0</v>
      </c>
      <c r="S406" s="22"/>
      <c r="T406" s="25">
        <v>45434</v>
      </c>
    </row>
    <row r="407" spans="1:20" x14ac:dyDescent="0.3">
      <c r="A407" s="13">
        <v>404</v>
      </c>
      <c r="B407" s="1" t="s">
        <v>704</v>
      </c>
      <c r="C407" s="39">
        <f t="shared" ca="1" si="31"/>
        <v>0</v>
      </c>
      <c r="D407" t="s">
        <v>276</v>
      </c>
      <c r="E407" t="s">
        <v>363</v>
      </c>
      <c r="F407" s="7" t="s">
        <v>78</v>
      </c>
      <c r="G407" s="6" t="s">
        <v>681</v>
      </c>
      <c r="H407" s="2" t="s">
        <v>681</v>
      </c>
      <c r="I407" s="1">
        <v>30</v>
      </c>
      <c r="J407" s="1">
        <v>5</v>
      </c>
      <c r="L407" s="45">
        <f t="shared" si="32"/>
        <v>45465</v>
      </c>
      <c r="M407" s="46">
        <f t="shared" si="30"/>
        <v>45465</v>
      </c>
      <c r="Q407" s="43">
        <f t="shared" si="33"/>
        <v>0</v>
      </c>
      <c r="R407" s="43">
        <f t="shared" ca="1" si="34"/>
        <v>0</v>
      </c>
      <c r="S407" s="22"/>
      <c r="T407" s="25">
        <v>45435</v>
      </c>
    </row>
    <row r="408" spans="1:20" x14ac:dyDescent="0.3">
      <c r="A408" s="13">
        <v>405</v>
      </c>
      <c r="B408" s="1" t="s">
        <v>704</v>
      </c>
      <c r="C408" s="39">
        <f t="shared" ca="1" si="31"/>
        <v>0</v>
      </c>
      <c r="D408" t="s">
        <v>276</v>
      </c>
      <c r="E408" t="s">
        <v>144</v>
      </c>
      <c r="F408" s="7" t="s">
        <v>78</v>
      </c>
      <c r="G408" s="6" t="s">
        <v>681</v>
      </c>
      <c r="H408" s="2" t="s">
        <v>681</v>
      </c>
      <c r="I408" s="1">
        <v>30</v>
      </c>
      <c r="J408" s="1">
        <v>5</v>
      </c>
      <c r="L408" s="45">
        <f t="shared" si="32"/>
        <v>45466</v>
      </c>
      <c r="M408" s="46">
        <f t="shared" si="30"/>
        <v>45466</v>
      </c>
      <c r="Q408" s="43">
        <f t="shared" si="33"/>
        <v>0</v>
      </c>
      <c r="R408" s="43">
        <f t="shared" ca="1" si="34"/>
        <v>0</v>
      </c>
      <c r="S408" s="22"/>
      <c r="T408" s="25">
        <v>45436</v>
      </c>
    </row>
    <row r="409" spans="1:20" x14ac:dyDescent="0.3">
      <c r="A409" s="13">
        <v>406</v>
      </c>
      <c r="B409" s="1" t="s">
        <v>704</v>
      </c>
      <c r="C409" s="39">
        <f t="shared" ca="1" si="31"/>
        <v>0</v>
      </c>
      <c r="D409" t="s">
        <v>276</v>
      </c>
      <c r="E409" t="s">
        <v>364</v>
      </c>
      <c r="F409" s="7" t="s">
        <v>78</v>
      </c>
      <c r="G409" s="6" t="s">
        <v>681</v>
      </c>
      <c r="H409" s="2" t="s">
        <v>681</v>
      </c>
      <c r="I409" s="1">
        <v>30</v>
      </c>
      <c r="J409" s="1">
        <v>5</v>
      </c>
      <c r="L409" s="45">
        <f t="shared" si="32"/>
        <v>45467</v>
      </c>
      <c r="M409" s="46">
        <f t="shared" si="30"/>
        <v>45467</v>
      </c>
      <c r="Q409" s="43">
        <f t="shared" si="33"/>
        <v>0</v>
      </c>
      <c r="R409" s="43">
        <f t="shared" ca="1" si="34"/>
        <v>0</v>
      </c>
      <c r="S409" s="22"/>
      <c r="T409" s="25">
        <v>45437</v>
      </c>
    </row>
    <row r="410" spans="1:20" x14ac:dyDescent="0.3">
      <c r="A410" s="13">
        <v>407</v>
      </c>
      <c r="B410" s="1" t="s">
        <v>704</v>
      </c>
      <c r="C410" s="39">
        <f t="shared" ca="1" si="31"/>
        <v>0</v>
      </c>
      <c r="D410" t="s">
        <v>37</v>
      </c>
      <c r="E410" t="s">
        <v>342</v>
      </c>
      <c r="F410" s="7" t="s">
        <v>78</v>
      </c>
      <c r="G410" s="6" t="s">
        <v>681</v>
      </c>
      <c r="H410" s="2" t="s">
        <v>681</v>
      </c>
      <c r="I410" s="1">
        <v>7</v>
      </c>
      <c r="J410" s="1">
        <v>10</v>
      </c>
      <c r="L410" s="45">
        <f t="shared" si="32"/>
        <v>45445</v>
      </c>
      <c r="M410" s="46">
        <f t="shared" si="30"/>
        <v>45445</v>
      </c>
      <c r="Q410" s="43">
        <f t="shared" si="33"/>
        <v>0</v>
      </c>
      <c r="R410" s="43">
        <f t="shared" ca="1" si="34"/>
        <v>0</v>
      </c>
      <c r="S410" s="22"/>
      <c r="T410" s="25">
        <v>45438</v>
      </c>
    </row>
    <row r="411" spans="1:20" x14ac:dyDescent="0.3">
      <c r="A411" s="13">
        <v>408</v>
      </c>
      <c r="B411" s="1" t="s">
        <v>704</v>
      </c>
      <c r="C411" s="39">
        <f t="shared" ca="1" si="31"/>
        <v>0</v>
      </c>
      <c r="D411" t="s">
        <v>37</v>
      </c>
      <c r="E411" t="s">
        <v>343</v>
      </c>
      <c r="F411" s="7" t="s">
        <v>78</v>
      </c>
      <c r="G411" s="6" t="s">
        <v>681</v>
      </c>
      <c r="H411" s="2" t="s">
        <v>681</v>
      </c>
      <c r="I411" s="1">
        <v>7</v>
      </c>
      <c r="J411" s="1">
        <v>10</v>
      </c>
      <c r="L411" s="45">
        <f t="shared" si="32"/>
        <v>45446</v>
      </c>
      <c r="M411" s="46">
        <f t="shared" si="30"/>
        <v>45446</v>
      </c>
      <c r="Q411" s="43">
        <f t="shared" si="33"/>
        <v>0</v>
      </c>
      <c r="R411" s="43">
        <f t="shared" ca="1" si="34"/>
        <v>0</v>
      </c>
      <c r="S411" s="22"/>
      <c r="T411" s="25">
        <v>45439</v>
      </c>
    </row>
    <row r="412" spans="1:20" x14ac:dyDescent="0.3">
      <c r="A412" s="13">
        <v>409</v>
      </c>
      <c r="B412" s="1" t="s">
        <v>704</v>
      </c>
      <c r="C412" s="39">
        <f t="shared" ca="1" si="31"/>
        <v>0</v>
      </c>
      <c r="D412" t="s">
        <v>37</v>
      </c>
      <c r="E412" t="s">
        <v>172</v>
      </c>
      <c r="F412" s="7" t="s">
        <v>78</v>
      </c>
      <c r="G412" s="6" t="s">
        <v>681</v>
      </c>
      <c r="H412" s="2" t="s">
        <v>681</v>
      </c>
      <c r="I412" s="1">
        <v>7</v>
      </c>
      <c r="J412" s="1">
        <v>10</v>
      </c>
      <c r="L412" s="45">
        <f t="shared" si="32"/>
        <v>45447</v>
      </c>
      <c r="M412" s="46">
        <f t="shared" si="30"/>
        <v>45447</v>
      </c>
      <c r="Q412" s="43">
        <f t="shared" si="33"/>
        <v>0</v>
      </c>
      <c r="R412" s="43">
        <f t="shared" ca="1" si="34"/>
        <v>0</v>
      </c>
      <c r="S412" s="22"/>
      <c r="T412" s="25">
        <v>45440</v>
      </c>
    </row>
    <row r="413" spans="1:20" x14ac:dyDescent="0.3">
      <c r="A413" s="13">
        <v>410</v>
      </c>
      <c r="B413" s="1" t="s">
        <v>704</v>
      </c>
      <c r="C413" s="39">
        <f t="shared" ca="1" si="31"/>
        <v>0</v>
      </c>
      <c r="D413" t="s">
        <v>118</v>
      </c>
      <c r="E413" t="s">
        <v>10</v>
      </c>
      <c r="F413" s="7" t="s">
        <v>78</v>
      </c>
      <c r="G413" s="6" t="s">
        <v>681</v>
      </c>
      <c r="H413" s="2" t="s">
        <v>681</v>
      </c>
      <c r="I413" s="1">
        <v>30</v>
      </c>
      <c r="J413" s="1">
        <v>10</v>
      </c>
      <c r="L413" s="45">
        <f t="shared" si="32"/>
        <v>45471</v>
      </c>
      <c r="M413" s="46">
        <f t="shared" si="30"/>
        <v>45471</v>
      </c>
      <c r="Q413" s="43">
        <f t="shared" si="33"/>
        <v>0</v>
      </c>
      <c r="R413" s="43">
        <f t="shared" ca="1" si="34"/>
        <v>0</v>
      </c>
      <c r="S413" s="22"/>
      <c r="T413" s="25">
        <v>45441</v>
      </c>
    </row>
    <row r="414" spans="1:20" x14ac:dyDescent="0.3">
      <c r="A414" s="13">
        <v>411</v>
      </c>
      <c r="B414" s="1" t="s">
        <v>704</v>
      </c>
      <c r="C414" s="39">
        <f t="shared" ca="1" si="31"/>
        <v>0</v>
      </c>
      <c r="D414" t="s">
        <v>118</v>
      </c>
      <c r="E414" t="s">
        <v>11</v>
      </c>
      <c r="F414" s="7" t="s">
        <v>78</v>
      </c>
      <c r="G414" s="6" t="s">
        <v>681</v>
      </c>
      <c r="H414" s="2" t="s">
        <v>681</v>
      </c>
      <c r="I414" s="1">
        <v>30</v>
      </c>
      <c r="J414" s="1">
        <v>10</v>
      </c>
      <c r="L414" s="45">
        <f t="shared" si="32"/>
        <v>45472</v>
      </c>
      <c r="M414" s="46">
        <f t="shared" si="30"/>
        <v>45472</v>
      </c>
      <c r="Q414" s="43">
        <f t="shared" si="33"/>
        <v>0</v>
      </c>
      <c r="R414" s="43">
        <f t="shared" ca="1" si="34"/>
        <v>0</v>
      </c>
      <c r="S414" s="22"/>
      <c r="T414" s="25">
        <v>45442</v>
      </c>
    </row>
    <row r="415" spans="1:20" x14ac:dyDescent="0.3">
      <c r="A415" s="13">
        <v>412</v>
      </c>
      <c r="B415" s="1" t="s">
        <v>704</v>
      </c>
      <c r="C415" s="39">
        <f t="shared" ca="1" si="31"/>
        <v>0</v>
      </c>
      <c r="D415" t="s">
        <v>118</v>
      </c>
      <c r="E415" t="s">
        <v>12</v>
      </c>
      <c r="F415" s="7" t="s">
        <v>78</v>
      </c>
      <c r="G415" s="6" t="s">
        <v>681</v>
      </c>
      <c r="H415" s="2" t="s">
        <v>681</v>
      </c>
      <c r="I415" s="1">
        <v>30</v>
      </c>
      <c r="J415" s="1">
        <v>10</v>
      </c>
      <c r="L415" s="45">
        <f t="shared" si="32"/>
        <v>45473</v>
      </c>
      <c r="M415" s="46">
        <f t="shared" si="30"/>
        <v>45473</v>
      </c>
      <c r="Q415" s="43">
        <f t="shared" si="33"/>
        <v>0</v>
      </c>
      <c r="R415" s="43">
        <f t="shared" ca="1" si="34"/>
        <v>0</v>
      </c>
      <c r="S415" s="22"/>
      <c r="T415" s="25">
        <v>45443</v>
      </c>
    </row>
    <row r="416" spans="1:20" x14ac:dyDescent="0.3">
      <c r="A416" s="13">
        <v>413</v>
      </c>
      <c r="B416" s="1" t="s">
        <v>704</v>
      </c>
      <c r="C416" s="39">
        <f t="shared" ca="1" si="31"/>
        <v>0</v>
      </c>
      <c r="D416" t="s">
        <v>118</v>
      </c>
      <c r="E416" t="s">
        <v>170</v>
      </c>
      <c r="F416" s="7" t="s">
        <v>78</v>
      </c>
      <c r="G416" s="6" t="s">
        <v>681</v>
      </c>
      <c r="H416" s="2" t="s">
        <v>681</v>
      </c>
      <c r="I416" s="1">
        <v>30</v>
      </c>
      <c r="J416" s="1">
        <v>10</v>
      </c>
      <c r="L416" s="45">
        <f t="shared" si="32"/>
        <v>45474</v>
      </c>
      <c r="M416" s="46">
        <f t="shared" si="30"/>
        <v>45474</v>
      </c>
      <c r="Q416" s="43">
        <f t="shared" si="33"/>
        <v>0</v>
      </c>
      <c r="R416" s="43">
        <f t="shared" ca="1" si="34"/>
        <v>0</v>
      </c>
      <c r="S416" s="22"/>
      <c r="T416" s="25">
        <v>45444</v>
      </c>
    </row>
    <row r="417" spans="1:20" x14ac:dyDescent="0.3">
      <c r="A417" s="13">
        <v>414</v>
      </c>
      <c r="B417" s="1" t="s">
        <v>704</v>
      </c>
      <c r="C417" s="39">
        <f t="shared" ca="1" si="31"/>
        <v>0</v>
      </c>
      <c r="D417" t="s">
        <v>118</v>
      </c>
      <c r="E417" t="s">
        <v>172</v>
      </c>
      <c r="F417" s="7" t="s">
        <v>78</v>
      </c>
      <c r="G417" s="6" t="s">
        <v>681</v>
      </c>
      <c r="H417" s="2" t="s">
        <v>681</v>
      </c>
      <c r="I417" s="1">
        <v>30</v>
      </c>
      <c r="J417" s="1">
        <v>10</v>
      </c>
      <c r="L417" s="45">
        <f t="shared" si="32"/>
        <v>45475</v>
      </c>
      <c r="M417" s="46">
        <f t="shared" ref="M417:M480" si="35">T417+I417</f>
        <v>45475</v>
      </c>
      <c r="Q417" s="43">
        <f t="shared" si="33"/>
        <v>0</v>
      </c>
      <c r="R417" s="43">
        <f t="shared" ca="1" si="34"/>
        <v>0</v>
      </c>
      <c r="S417" s="22"/>
      <c r="T417" s="25">
        <v>45445</v>
      </c>
    </row>
    <row r="418" spans="1:20" x14ac:dyDescent="0.3">
      <c r="A418" s="13">
        <v>415</v>
      </c>
      <c r="B418" s="1" t="s">
        <v>704</v>
      </c>
      <c r="C418" s="39">
        <f t="shared" ca="1" si="31"/>
        <v>0</v>
      </c>
      <c r="D418" t="s">
        <v>118</v>
      </c>
      <c r="E418" t="s">
        <v>171</v>
      </c>
      <c r="F418" s="7" t="s">
        <v>78</v>
      </c>
      <c r="G418" s="6" t="s">
        <v>681</v>
      </c>
      <c r="H418" s="2" t="s">
        <v>681</v>
      </c>
      <c r="I418" s="1">
        <v>30</v>
      </c>
      <c r="J418" s="1">
        <v>10</v>
      </c>
      <c r="L418" s="45">
        <f t="shared" si="32"/>
        <v>45476</v>
      </c>
      <c r="M418" s="46">
        <f t="shared" si="35"/>
        <v>45476</v>
      </c>
      <c r="Q418" s="43">
        <f t="shared" si="33"/>
        <v>0</v>
      </c>
      <c r="R418" s="43">
        <f t="shared" ca="1" si="34"/>
        <v>0</v>
      </c>
      <c r="S418" s="22"/>
      <c r="T418" s="25">
        <v>45446</v>
      </c>
    </row>
    <row r="419" spans="1:20" x14ac:dyDescent="0.3">
      <c r="A419" s="13">
        <v>416</v>
      </c>
      <c r="B419" s="1" t="s">
        <v>704</v>
      </c>
      <c r="C419" s="39">
        <f t="shared" ca="1" si="31"/>
        <v>0</v>
      </c>
      <c r="D419" t="s">
        <v>118</v>
      </c>
      <c r="E419" t="s">
        <v>173</v>
      </c>
      <c r="F419" s="7" t="s">
        <v>78</v>
      </c>
      <c r="G419" s="6" t="s">
        <v>681</v>
      </c>
      <c r="H419" s="2" t="s">
        <v>681</v>
      </c>
      <c r="I419" s="1">
        <v>30</v>
      </c>
      <c r="J419" s="1">
        <v>10</v>
      </c>
      <c r="L419" s="45">
        <f t="shared" si="32"/>
        <v>45477</v>
      </c>
      <c r="M419" s="46">
        <f t="shared" si="35"/>
        <v>45477</v>
      </c>
      <c r="Q419" s="43">
        <f t="shared" si="33"/>
        <v>0</v>
      </c>
      <c r="R419" s="43">
        <f t="shared" ca="1" si="34"/>
        <v>0</v>
      </c>
      <c r="S419" s="22"/>
      <c r="T419" s="25">
        <v>45447</v>
      </c>
    </row>
    <row r="420" spans="1:20" x14ac:dyDescent="0.3">
      <c r="A420" s="13">
        <v>417</v>
      </c>
      <c r="B420" s="1" t="s">
        <v>705</v>
      </c>
      <c r="C420" s="39">
        <f t="shared" ca="1" si="31"/>
        <v>0</v>
      </c>
      <c r="D420" t="s">
        <v>119</v>
      </c>
      <c r="E420" t="s">
        <v>10</v>
      </c>
      <c r="F420" s="7" t="s">
        <v>78</v>
      </c>
      <c r="G420" s="6" t="s">
        <v>681</v>
      </c>
      <c r="H420" s="2" t="s">
        <v>681</v>
      </c>
      <c r="I420" s="1">
        <v>30</v>
      </c>
      <c r="J420" s="1">
        <v>10</v>
      </c>
      <c r="L420" s="45">
        <f t="shared" si="32"/>
        <v>45478</v>
      </c>
      <c r="M420" s="46">
        <f t="shared" si="35"/>
        <v>45478</v>
      </c>
      <c r="Q420" s="43">
        <f t="shared" si="33"/>
        <v>0</v>
      </c>
      <c r="R420" s="43">
        <f t="shared" ca="1" si="34"/>
        <v>0</v>
      </c>
      <c r="S420" s="22"/>
      <c r="T420" s="25">
        <v>45448</v>
      </c>
    </row>
    <row r="421" spans="1:20" x14ac:dyDescent="0.3">
      <c r="A421" s="13">
        <v>418</v>
      </c>
      <c r="B421" s="1" t="s">
        <v>705</v>
      </c>
      <c r="C421" s="39">
        <f t="shared" ca="1" si="31"/>
        <v>0</v>
      </c>
      <c r="D421" t="s">
        <v>119</v>
      </c>
      <c r="E421" t="s">
        <v>11</v>
      </c>
      <c r="F421" s="7" t="s">
        <v>78</v>
      </c>
      <c r="G421" s="6" t="s">
        <v>681</v>
      </c>
      <c r="H421" s="2" t="s">
        <v>681</v>
      </c>
      <c r="I421" s="1">
        <v>30</v>
      </c>
      <c r="J421" s="1">
        <v>10</v>
      </c>
      <c r="L421" s="45">
        <f t="shared" si="32"/>
        <v>45479</v>
      </c>
      <c r="M421" s="46">
        <f t="shared" si="35"/>
        <v>45479</v>
      </c>
      <c r="Q421" s="43">
        <f t="shared" si="33"/>
        <v>0</v>
      </c>
      <c r="R421" s="43">
        <f t="shared" ca="1" si="34"/>
        <v>0</v>
      </c>
      <c r="S421" s="22"/>
      <c r="T421" s="25">
        <v>45449</v>
      </c>
    </row>
    <row r="422" spans="1:20" x14ac:dyDescent="0.3">
      <c r="A422" s="13">
        <v>419</v>
      </c>
      <c r="B422" s="1" t="s">
        <v>705</v>
      </c>
      <c r="C422" s="39">
        <f t="shared" ca="1" si="31"/>
        <v>0</v>
      </c>
      <c r="D422" t="s">
        <v>119</v>
      </c>
      <c r="E422" t="s">
        <v>12</v>
      </c>
      <c r="F422" s="7" t="s">
        <v>78</v>
      </c>
      <c r="G422" s="6" t="s">
        <v>681</v>
      </c>
      <c r="H422" s="2" t="s">
        <v>681</v>
      </c>
      <c r="I422" s="1">
        <v>30</v>
      </c>
      <c r="J422" s="1">
        <v>10</v>
      </c>
      <c r="L422" s="45">
        <f t="shared" si="32"/>
        <v>45480</v>
      </c>
      <c r="M422" s="46">
        <f t="shared" si="35"/>
        <v>45480</v>
      </c>
      <c r="Q422" s="43">
        <f t="shared" si="33"/>
        <v>0</v>
      </c>
      <c r="R422" s="43">
        <f t="shared" ca="1" si="34"/>
        <v>0</v>
      </c>
      <c r="S422" s="22"/>
      <c r="T422" s="25">
        <v>45450</v>
      </c>
    </row>
    <row r="423" spans="1:20" x14ac:dyDescent="0.3">
      <c r="A423" s="13">
        <v>420</v>
      </c>
      <c r="B423" s="1" t="s">
        <v>705</v>
      </c>
      <c r="C423" s="39">
        <f t="shared" ca="1" si="31"/>
        <v>0</v>
      </c>
      <c r="D423" t="s">
        <v>119</v>
      </c>
      <c r="E423" t="s">
        <v>170</v>
      </c>
      <c r="F423" s="7" t="s">
        <v>78</v>
      </c>
      <c r="G423" s="6" t="s">
        <v>681</v>
      </c>
      <c r="H423" s="2" t="s">
        <v>681</v>
      </c>
      <c r="I423" s="1">
        <v>30</v>
      </c>
      <c r="J423" s="1">
        <v>10</v>
      </c>
      <c r="L423" s="45">
        <f t="shared" si="32"/>
        <v>45481</v>
      </c>
      <c r="M423" s="46">
        <f t="shared" si="35"/>
        <v>45481</v>
      </c>
      <c r="Q423" s="43">
        <f t="shared" si="33"/>
        <v>0</v>
      </c>
      <c r="R423" s="43">
        <f t="shared" ca="1" si="34"/>
        <v>0</v>
      </c>
      <c r="S423" s="22"/>
      <c r="T423" s="25">
        <v>45451</v>
      </c>
    </row>
    <row r="424" spans="1:20" x14ac:dyDescent="0.3">
      <c r="A424" s="13">
        <v>421</v>
      </c>
      <c r="B424" s="1" t="s">
        <v>705</v>
      </c>
      <c r="C424" s="39">
        <f t="shared" ca="1" si="31"/>
        <v>0</v>
      </c>
      <c r="D424" t="s">
        <v>119</v>
      </c>
      <c r="E424" t="s">
        <v>172</v>
      </c>
      <c r="F424" s="7" t="s">
        <v>78</v>
      </c>
      <c r="G424" s="6" t="s">
        <v>681</v>
      </c>
      <c r="H424" s="2" t="s">
        <v>681</v>
      </c>
      <c r="I424" s="1">
        <v>30</v>
      </c>
      <c r="J424" s="1">
        <v>10</v>
      </c>
      <c r="L424" s="45">
        <f t="shared" si="32"/>
        <v>45482</v>
      </c>
      <c r="M424" s="46">
        <f t="shared" si="35"/>
        <v>45482</v>
      </c>
      <c r="Q424" s="43">
        <f t="shared" si="33"/>
        <v>0</v>
      </c>
      <c r="R424" s="43">
        <f t="shared" ca="1" si="34"/>
        <v>0</v>
      </c>
      <c r="S424" s="22"/>
      <c r="T424" s="25">
        <v>45452</v>
      </c>
    </row>
    <row r="425" spans="1:20" x14ac:dyDescent="0.3">
      <c r="A425" s="13">
        <v>422</v>
      </c>
      <c r="B425" s="1" t="s">
        <v>705</v>
      </c>
      <c r="C425" s="39">
        <f t="shared" ca="1" si="31"/>
        <v>0</v>
      </c>
      <c r="D425" t="s">
        <v>119</v>
      </c>
      <c r="E425" t="s">
        <v>171</v>
      </c>
      <c r="F425" s="7" t="s">
        <v>78</v>
      </c>
      <c r="G425" s="6" t="s">
        <v>681</v>
      </c>
      <c r="H425" s="2" t="s">
        <v>681</v>
      </c>
      <c r="I425" s="1">
        <v>30</v>
      </c>
      <c r="J425" s="1">
        <v>10</v>
      </c>
      <c r="L425" s="45">
        <f t="shared" si="32"/>
        <v>45483</v>
      </c>
      <c r="M425" s="46">
        <f t="shared" si="35"/>
        <v>45483</v>
      </c>
      <c r="Q425" s="43">
        <f t="shared" si="33"/>
        <v>0</v>
      </c>
      <c r="R425" s="43">
        <f t="shared" ca="1" si="34"/>
        <v>0</v>
      </c>
      <c r="S425" s="22"/>
      <c r="T425" s="25">
        <v>45453</v>
      </c>
    </row>
    <row r="426" spans="1:20" x14ac:dyDescent="0.3">
      <c r="A426" s="13">
        <v>423</v>
      </c>
      <c r="B426" s="1" t="s">
        <v>704</v>
      </c>
      <c r="C426" s="39">
        <f t="shared" ca="1" si="31"/>
        <v>0</v>
      </c>
      <c r="D426" t="s">
        <v>120</v>
      </c>
      <c r="E426" t="s">
        <v>174</v>
      </c>
      <c r="F426" s="7" t="s">
        <v>78</v>
      </c>
      <c r="G426" s="6" t="s">
        <v>681</v>
      </c>
      <c r="H426" s="2" t="s">
        <v>681</v>
      </c>
      <c r="I426" s="1">
        <v>30</v>
      </c>
      <c r="J426" s="1">
        <v>10</v>
      </c>
      <c r="L426" s="45">
        <f t="shared" si="32"/>
        <v>45484</v>
      </c>
      <c r="M426" s="46">
        <f t="shared" si="35"/>
        <v>45484</v>
      </c>
      <c r="Q426" s="43">
        <f t="shared" si="33"/>
        <v>0</v>
      </c>
      <c r="R426" s="43">
        <f t="shared" ca="1" si="34"/>
        <v>0</v>
      </c>
      <c r="S426" s="22"/>
      <c r="T426" s="25">
        <v>45454</v>
      </c>
    </row>
    <row r="427" spans="1:20" x14ac:dyDescent="0.3">
      <c r="A427" s="13">
        <v>424</v>
      </c>
      <c r="B427" s="1" t="s">
        <v>704</v>
      </c>
      <c r="C427" s="39">
        <f t="shared" ca="1" si="31"/>
        <v>0</v>
      </c>
      <c r="D427" t="s">
        <v>120</v>
      </c>
      <c r="E427" t="s">
        <v>175</v>
      </c>
      <c r="F427" s="7" t="s">
        <v>78</v>
      </c>
      <c r="G427" s="6" t="s">
        <v>681</v>
      </c>
      <c r="H427" s="2" t="s">
        <v>681</v>
      </c>
      <c r="I427" s="1">
        <v>30</v>
      </c>
      <c r="J427" s="1">
        <v>10</v>
      </c>
      <c r="L427" s="45">
        <f t="shared" si="32"/>
        <v>45485</v>
      </c>
      <c r="M427" s="46">
        <f t="shared" si="35"/>
        <v>45485</v>
      </c>
      <c r="Q427" s="43">
        <f t="shared" si="33"/>
        <v>0</v>
      </c>
      <c r="R427" s="43">
        <f t="shared" ca="1" si="34"/>
        <v>0</v>
      </c>
      <c r="S427" s="22"/>
      <c r="T427" s="25">
        <v>45455</v>
      </c>
    </row>
    <row r="428" spans="1:20" x14ac:dyDescent="0.3">
      <c r="A428" s="13">
        <v>425</v>
      </c>
      <c r="B428" s="1" t="s">
        <v>704</v>
      </c>
      <c r="C428" s="39">
        <f t="shared" ca="1" si="31"/>
        <v>0</v>
      </c>
      <c r="D428" t="s">
        <v>120</v>
      </c>
      <c r="E428" t="s">
        <v>143</v>
      </c>
      <c r="F428" s="7" t="s">
        <v>78</v>
      </c>
      <c r="G428" s="6" t="s">
        <v>681</v>
      </c>
      <c r="H428" s="2" t="s">
        <v>681</v>
      </c>
      <c r="I428" s="1">
        <v>30</v>
      </c>
      <c r="J428" s="1">
        <v>10</v>
      </c>
      <c r="L428" s="45">
        <f t="shared" si="32"/>
        <v>45486</v>
      </c>
      <c r="M428" s="46">
        <f t="shared" si="35"/>
        <v>45486</v>
      </c>
      <c r="Q428" s="43">
        <f t="shared" si="33"/>
        <v>0</v>
      </c>
      <c r="R428" s="43">
        <f t="shared" ca="1" si="34"/>
        <v>0</v>
      </c>
      <c r="S428" s="22"/>
      <c r="T428" s="25">
        <v>45456</v>
      </c>
    </row>
    <row r="429" spans="1:20" x14ac:dyDescent="0.3">
      <c r="A429" s="13">
        <v>426</v>
      </c>
      <c r="B429" s="1" t="s">
        <v>704</v>
      </c>
      <c r="C429" s="39">
        <f t="shared" ca="1" si="31"/>
        <v>0</v>
      </c>
      <c r="D429" t="s">
        <v>120</v>
      </c>
      <c r="E429" t="s">
        <v>365</v>
      </c>
      <c r="F429" s="7" t="s">
        <v>78</v>
      </c>
      <c r="G429" s="6" t="s">
        <v>681</v>
      </c>
      <c r="H429" s="2" t="s">
        <v>681</v>
      </c>
      <c r="I429" s="1">
        <v>30</v>
      </c>
      <c r="J429" s="1">
        <v>10</v>
      </c>
      <c r="L429" s="45">
        <f t="shared" si="32"/>
        <v>45487</v>
      </c>
      <c r="M429" s="46">
        <f t="shared" si="35"/>
        <v>45487</v>
      </c>
      <c r="Q429" s="43">
        <f t="shared" si="33"/>
        <v>0</v>
      </c>
      <c r="R429" s="43">
        <f t="shared" ca="1" si="34"/>
        <v>0</v>
      </c>
      <c r="S429" s="22"/>
      <c r="T429" s="25">
        <v>45457</v>
      </c>
    </row>
    <row r="430" spans="1:20" x14ac:dyDescent="0.3">
      <c r="A430" s="13">
        <v>427</v>
      </c>
      <c r="B430" s="1" t="s">
        <v>704</v>
      </c>
      <c r="C430" s="39">
        <f t="shared" ca="1" si="31"/>
        <v>0</v>
      </c>
      <c r="D430" t="s">
        <v>120</v>
      </c>
      <c r="E430" t="s">
        <v>176</v>
      </c>
      <c r="F430" s="7" t="s">
        <v>78</v>
      </c>
      <c r="G430" s="6" t="s">
        <v>681</v>
      </c>
      <c r="H430" s="2" t="s">
        <v>681</v>
      </c>
      <c r="I430" s="1">
        <v>30</v>
      </c>
      <c r="J430" s="1">
        <v>10</v>
      </c>
      <c r="L430" s="45">
        <f t="shared" si="32"/>
        <v>45488</v>
      </c>
      <c r="M430" s="46">
        <f t="shared" si="35"/>
        <v>45488</v>
      </c>
      <c r="Q430" s="43">
        <f t="shared" si="33"/>
        <v>0</v>
      </c>
      <c r="R430" s="43">
        <f t="shared" ca="1" si="34"/>
        <v>0</v>
      </c>
      <c r="S430" s="22"/>
      <c r="T430" s="25">
        <v>45458</v>
      </c>
    </row>
    <row r="431" spans="1:20" x14ac:dyDescent="0.3">
      <c r="A431" s="13">
        <v>428</v>
      </c>
      <c r="B431" s="1" t="s">
        <v>704</v>
      </c>
      <c r="C431" s="39">
        <f t="shared" ca="1" si="31"/>
        <v>1</v>
      </c>
      <c r="D431" t="s">
        <v>270</v>
      </c>
      <c r="E431" t="s">
        <v>25</v>
      </c>
      <c r="F431" s="7" t="s">
        <v>78</v>
      </c>
      <c r="G431" s="6" t="s">
        <v>681</v>
      </c>
      <c r="H431" s="2" t="s">
        <v>681</v>
      </c>
      <c r="I431" s="1">
        <v>30</v>
      </c>
      <c r="J431" s="1">
        <v>5</v>
      </c>
      <c r="L431" s="45">
        <f t="shared" si="32"/>
        <v>45084</v>
      </c>
      <c r="M431" s="46">
        <f t="shared" si="35"/>
        <v>45489</v>
      </c>
      <c r="N431" s="50">
        <v>45084</v>
      </c>
      <c r="Q431" s="43">
        <f t="shared" si="33"/>
        <v>0</v>
      </c>
      <c r="R431" s="43">
        <f t="shared" ca="1" si="34"/>
        <v>0</v>
      </c>
      <c r="S431" s="22">
        <v>1</v>
      </c>
      <c r="T431" s="25">
        <v>45459</v>
      </c>
    </row>
    <row r="432" spans="1:20" x14ac:dyDescent="0.3">
      <c r="A432" s="13">
        <v>429</v>
      </c>
      <c r="B432" s="1" t="s">
        <v>704</v>
      </c>
      <c r="C432" s="39">
        <f t="shared" ca="1" si="31"/>
        <v>0</v>
      </c>
      <c r="D432" t="s">
        <v>270</v>
      </c>
      <c r="E432" t="s">
        <v>26</v>
      </c>
      <c r="F432" s="7" t="s">
        <v>78</v>
      </c>
      <c r="G432" s="6" t="s">
        <v>681</v>
      </c>
      <c r="H432" s="2" t="s">
        <v>681</v>
      </c>
      <c r="I432" s="1">
        <v>30</v>
      </c>
      <c r="J432" s="1">
        <v>5</v>
      </c>
      <c r="L432" s="45">
        <f t="shared" si="32"/>
        <v>45490</v>
      </c>
      <c r="M432" s="46">
        <f t="shared" si="35"/>
        <v>45490</v>
      </c>
      <c r="Q432" s="43">
        <f t="shared" si="33"/>
        <v>0</v>
      </c>
      <c r="R432" s="43">
        <f t="shared" ca="1" si="34"/>
        <v>0</v>
      </c>
      <c r="S432" s="22"/>
      <c r="T432" s="25">
        <v>45460</v>
      </c>
    </row>
    <row r="433" spans="1:20" x14ac:dyDescent="0.3">
      <c r="A433" s="13">
        <v>430</v>
      </c>
      <c r="B433" s="1" t="s">
        <v>704</v>
      </c>
      <c r="C433" s="39">
        <f t="shared" ca="1" si="31"/>
        <v>0</v>
      </c>
      <c r="D433" t="s">
        <v>271</v>
      </c>
      <c r="E433" t="s">
        <v>25</v>
      </c>
      <c r="F433" s="7" t="s">
        <v>78</v>
      </c>
      <c r="G433" s="6" t="s">
        <v>681</v>
      </c>
      <c r="H433" s="2" t="s">
        <v>681</v>
      </c>
      <c r="I433" s="1">
        <v>30</v>
      </c>
      <c r="J433" s="1">
        <v>5</v>
      </c>
      <c r="L433" s="45">
        <f t="shared" si="32"/>
        <v>45491</v>
      </c>
      <c r="M433" s="46">
        <f t="shared" si="35"/>
        <v>45491</v>
      </c>
      <c r="Q433" s="43">
        <f t="shared" si="33"/>
        <v>0</v>
      </c>
      <c r="R433" s="43">
        <f t="shared" ca="1" si="34"/>
        <v>0</v>
      </c>
      <c r="S433" s="22"/>
      <c r="T433" s="25">
        <v>45461</v>
      </c>
    </row>
    <row r="434" spans="1:20" x14ac:dyDescent="0.3">
      <c r="A434" s="13">
        <v>431</v>
      </c>
      <c r="B434" s="1" t="s">
        <v>704</v>
      </c>
      <c r="C434" s="39">
        <f t="shared" ca="1" si="31"/>
        <v>0</v>
      </c>
      <c r="D434" t="s">
        <v>271</v>
      </c>
      <c r="E434" t="s">
        <v>26</v>
      </c>
      <c r="F434" s="7" t="s">
        <v>78</v>
      </c>
      <c r="G434" s="6" t="s">
        <v>681</v>
      </c>
      <c r="H434" s="2" t="s">
        <v>681</v>
      </c>
      <c r="I434" s="1">
        <v>30</v>
      </c>
      <c r="J434" s="1">
        <v>5</v>
      </c>
      <c r="L434" s="45">
        <f t="shared" si="32"/>
        <v>45492</v>
      </c>
      <c r="M434" s="46">
        <f t="shared" si="35"/>
        <v>45492</v>
      </c>
      <c r="Q434" s="43">
        <f t="shared" si="33"/>
        <v>0</v>
      </c>
      <c r="R434" s="43">
        <f t="shared" ca="1" si="34"/>
        <v>0</v>
      </c>
      <c r="S434" s="22"/>
      <c r="T434" s="25">
        <v>45462</v>
      </c>
    </row>
    <row r="435" spans="1:20" x14ac:dyDescent="0.3">
      <c r="A435" s="13">
        <v>432</v>
      </c>
      <c r="B435" s="1" t="s">
        <v>704</v>
      </c>
      <c r="C435" s="39">
        <f t="shared" ca="1" si="31"/>
        <v>0</v>
      </c>
      <c r="D435" t="s">
        <v>277</v>
      </c>
      <c r="E435" t="s">
        <v>143</v>
      </c>
      <c r="F435" s="7" t="s">
        <v>78</v>
      </c>
      <c r="G435" s="6" t="s">
        <v>681</v>
      </c>
      <c r="H435" s="2" t="s">
        <v>681</v>
      </c>
      <c r="I435" s="1">
        <v>90</v>
      </c>
      <c r="J435" s="1">
        <v>5</v>
      </c>
      <c r="L435" s="45">
        <f t="shared" si="32"/>
        <v>45553</v>
      </c>
      <c r="M435" s="46">
        <f t="shared" si="35"/>
        <v>45553</v>
      </c>
      <c r="Q435" s="43">
        <f t="shared" si="33"/>
        <v>0</v>
      </c>
      <c r="R435" s="43">
        <f t="shared" ca="1" si="34"/>
        <v>0</v>
      </c>
      <c r="S435" s="22"/>
      <c r="T435" s="25">
        <v>45463</v>
      </c>
    </row>
    <row r="436" spans="1:20" x14ac:dyDescent="0.3">
      <c r="A436" s="13">
        <v>433</v>
      </c>
      <c r="B436" s="1" t="s">
        <v>704</v>
      </c>
      <c r="C436" s="39">
        <f t="shared" ca="1" si="31"/>
        <v>0</v>
      </c>
      <c r="D436" t="s">
        <v>277</v>
      </c>
      <c r="E436" t="s">
        <v>365</v>
      </c>
      <c r="F436" s="7" t="s">
        <v>78</v>
      </c>
      <c r="G436" s="6" t="s">
        <v>681</v>
      </c>
      <c r="H436" s="2" t="s">
        <v>681</v>
      </c>
      <c r="I436" s="1">
        <v>90</v>
      </c>
      <c r="J436" s="1">
        <v>5</v>
      </c>
      <c r="L436" s="45">
        <f t="shared" si="32"/>
        <v>45554</v>
      </c>
      <c r="M436" s="46">
        <f t="shared" si="35"/>
        <v>45554</v>
      </c>
      <c r="Q436" s="43">
        <f t="shared" si="33"/>
        <v>0</v>
      </c>
      <c r="R436" s="43">
        <f t="shared" ca="1" si="34"/>
        <v>0</v>
      </c>
      <c r="S436" s="22"/>
      <c r="T436" s="25">
        <v>45464</v>
      </c>
    </row>
    <row r="437" spans="1:20" x14ac:dyDescent="0.3">
      <c r="A437" s="13">
        <v>434</v>
      </c>
      <c r="B437" s="1" t="s">
        <v>704</v>
      </c>
      <c r="C437" s="39">
        <f t="shared" ca="1" si="31"/>
        <v>0</v>
      </c>
      <c r="D437" t="s">
        <v>277</v>
      </c>
      <c r="E437" t="s">
        <v>366</v>
      </c>
      <c r="F437" s="7" t="s">
        <v>78</v>
      </c>
      <c r="G437" s="6" t="s">
        <v>681</v>
      </c>
      <c r="H437" s="2" t="s">
        <v>681</v>
      </c>
      <c r="I437" s="1">
        <v>90</v>
      </c>
      <c r="J437" s="1">
        <v>5</v>
      </c>
      <c r="L437" s="45">
        <f t="shared" si="32"/>
        <v>45555</v>
      </c>
      <c r="M437" s="46">
        <f t="shared" si="35"/>
        <v>45555</v>
      </c>
      <c r="Q437" s="43">
        <f t="shared" si="33"/>
        <v>0</v>
      </c>
      <c r="R437" s="43">
        <f t="shared" ca="1" si="34"/>
        <v>0</v>
      </c>
      <c r="S437" s="22"/>
      <c r="T437" s="25">
        <v>45465</v>
      </c>
    </row>
    <row r="438" spans="1:20" x14ac:dyDescent="0.3">
      <c r="A438" s="13">
        <v>435</v>
      </c>
      <c r="B438" s="1" t="s">
        <v>705</v>
      </c>
      <c r="C438" s="39">
        <f t="shared" ca="1" si="31"/>
        <v>0</v>
      </c>
      <c r="D438" t="s">
        <v>121</v>
      </c>
      <c r="E438" t="s">
        <v>367</v>
      </c>
      <c r="F438" s="7" t="s">
        <v>78</v>
      </c>
      <c r="G438" s="6" t="s">
        <v>681</v>
      </c>
      <c r="H438" s="2" t="s">
        <v>681</v>
      </c>
      <c r="I438" s="1">
        <v>30</v>
      </c>
      <c r="J438" s="1">
        <v>10</v>
      </c>
      <c r="L438" s="45">
        <f t="shared" si="32"/>
        <v>45496</v>
      </c>
      <c r="M438" s="46">
        <f t="shared" si="35"/>
        <v>45496</v>
      </c>
      <c r="Q438" s="43">
        <f t="shared" si="33"/>
        <v>0</v>
      </c>
      <c r="R438" s="43">
        <f t="shared" ca="1" si="34"/>
        <v>0</v>
      </c>
      <c r="S438" s="22"/>
      <c r="T438" s="25">
        <v>45466</v>
      </c>
    </row>
    <row r="439" spans="1:20" x14ac:dyDescent="0.3">
      <c r="A439" s="13">
        <v>436</v>
      </c>
      <c r="B439" s="1" t="s">
        <v>705</v>
      </c>
      <c r="C439" s="39">
        <f t="shared" ca="1" si="31"/>
        <v>0</v>
      </c>
      <c r="D439" t="s">
        <v>121</v>
      </c>
      <c r="E439" t="s">
        <v>366</v>
      </c>
      <c r="F439" s="7" t="s">
        <v>78</v>
      </c>
      <c r="G439" s="6" t="s">
        <v>681</v>
      </c>
      <c r="H439" s="2" t="s">
        <v>681</v>
      </c>
      <c r="I439" s="1">
        <v>30</v>
      </c>
      <c r="J439" s="1">
        <v>10</v>
      </c>
      <c r="L439" s="45">
        <f t="shared" si="32"/>
        <v>45497</v>
      </c>
      <c r="M439" s="46">
        <f t="shared" si="35"/>
        <v>45497</v>
      </c>
      <c r="Q439" s="43">
        <f t="shared" si="33"/>
        <v>0</v>
      </c>
      <c r="R439" s="43">
        <f t="shared" ca="1" si="34"/>
        <v>0</v>
      </c>
      <c r="S439" s="22"/>
      <c r="T439" s="25">
        <v>45467</v>
      </c>
    </row>
    <row r="440" spans="1:20" x14ac:dyDescent="0.3">
      <c r="A440" s="13">
        <v>437</v>
      </c>
      <c r="B440" s="1" t="s">
        <v>705</v>
      </c>
      <c r="C440" s="39">
        <f t="shared" ca="1" si="31"/>
        <v>0</v>
      </c>
      <c r="D440" t="s">
        <v>121</v>
      </c>
      <c r="E440" t="s">
        <v>368</v>
      </c>
      <c r="F440" s="7" t="s">
        <v>78</v>
      </c>
      <c r="G440" s="6" t="s">
        <v>681</v>
      </c>
      <c r="H440" s="2" t="s">
        <v>681</v>
      </c>
      <c r="I440" s="1">
        <v>30</v>
      </c>
      <c r="J440" s="1">
        <v>10</v>
      </c>
      <c r="L440" s="45">
        <f t="shared" si="32"/>
        <v>45498</v>
      </c>
      <c r="M440" s="46">
        <f t="shared" si="35"/>
        <v>45498</v>
      </c>
      <c r="Q440" s="43">
        <f t="shared" si="33"/>
        <v>0</v>
      </c>
      <c r="R440" s="43">
        <f t="shared" ca="1" si="34"/>
        <v>0</v>
      </c>
      <c r="S440" s="22"/>
      <c r="T440" s="25">
        <v>45468</v>
      </c>
    </row>
    <row r="441" spans="1:20" x14ac:dyDescent="0.3">
      <c r="A441" s="13">
        <v>438</v>
      </c>
      <c r="B441" s="1" t="s">
        <v>705</v>
      </c>
      <c r="C441" s="39">
        <f t="shared" ca="1" si="31"/>
        <v>0</v>
      </c>
      <c r="D441" t="s">
        <v>121</v>
      </c>
      <c r="E441" t="s">
        <v>177</v>
      </c>
      <c r="F441" s="7" t="s">
        <v>78</v>
      </c>
      <c r="G441" s="6" t="s">
        <v>681</v>
      </c>
      <c r="H441" s="2" t="s">
        <v>681</v>
      </c>
      <c r="I441" s="1">
        <v>30</v>
      </c>
      <c r="J441" s="1">
        <v>10</v>
      </c>
      <c r="L441" s="45">
        <f t="shared" si="32"/>
        <v>45499</v>
      </c>
      <c r="M441" s="46">
        <f t="shared" si="35"/>
        <v>45499</v>
      </c>
      <c r="Q441" s="43">
        <f t="shared" si="33"/>
        <v>0</v>
      </c>
      <c r="R441" s="43">
        <f t="shared" ca="1" si="34"/>
        <v>0</v>
      </c>
      <c r="S441" s="22"/>
      <c r="T441" s="25">
        <v>45469</v>
      </c>
    </row>
    <row r="442" spans="1:20" x14ac:dyDescent="0.3">
      <c r="A442" s="13">
        <v>439</v>
      </c>
      <c r="B442" s="1" t="s">
        <v>705</v>
      </c>
      <c r="C442" s="39">
        <f t="shared" ca="1" si="31"/>
        <v>0</v>
      </c>
      <c r="D442" t="s">
        <v>121</v>
      </c>
      <c r="E442" t="s">
        <v>369</v>
      </c>
      <c r="F442" s="7" t="s">
        <v>78</v>
      </c>
      <c r="G442" s="6" t="s">
        <v>681</v>
      </c>
      <c r="H442" s="2" t="s">
        <v>681</v>
      </c>
      <c r="I442" s="1">
        <v>30</v>
      </c>
      <c r="J442" s="1">
        <v>10</v>
      </c>
      <c r="L442" s="45">
        <f t="shared" si="32"/>
        <v>45500</v>
      </c>
      <c r="M442" s="46">
        <f t="shared" si="35"/>
        <v>45500</v>
      </c>
      <c r="Q442" s="43">
        <f t="shared" si="33"/>
        <v>0</v>
      </c>
      <c r="R442" s="43">
        <f t="shared" ca="1" si="34"/>
        <v>0</v>
      </c>
      <c r="S442" s="22"/>
      <c r="T442" s="25">
        <v>45470</v>
      </c>
    </row>
    <row r="443" spans="1:20" x14ac:dyDescent="0.3">
      <c r="A443" s="13">
        <v>440</v>
      </c>
      <c r="B443" s="1" t="s">
        <v>705</v>
      </c>
      <c r="C443" s="39">
        <f t="shared" ca="1" si="31"/>
        <v>0</v>
      </c>
      <c r="D443" t="s">
        <v>121</v>
      </c>
      <c r="E443" t="s">
        <v>366</v>
      </c>
      <c r="F443" s="7" t="s">
        <v>78</v>
      </c>
      <c r="G443" s="6" t="s">
        <v>681</v>
      </c>
      <c r="H443" s="2" t="s">
        <v>681</v>
      </c>
      <c r="I443" s="1">
        <v>30</v>
      </c>
      <c r="J443" s="1">
        <v>10</v>
      </c>
      <c r="L443" s="45">
        <f t="shared" si="32"/>
        <v>45501</v>
      </c>
      <c r="M443" s="46">
        <f t="shared" si="35"/>
        <v>45501</v>
      </c>
      <c r="Q443" s="43">
        <f t="shared" si="33"/>
        <v>0</v>
      </c>
      <c r="R443" s="43">
        <f t="shared" ca="1" si="34"/>
        <v>0</v>
      </c>
      <c r="S443" s="22"/>
      <c r="T443" s="25">
        <v>45471</v>
      </c>
    </row>
    <row r="444" spans="1:20" x14ac:dyDescent="0.3">
      <c r="A444" s="13">
        <v>441</v>
      </c>
      <c r="B444" s="1" t="s">
        <v>705</v>
      </c>
      <c r="C444" s="39">
        <f t="shared" ca="1" si="31"/>
        <v>0</v>
      </c>
      <c r="D444" t="s">
        <v>121</v>
      </c>
      <c r="E444" t="s">
        <v>370</v>
      </c>
      <c r="F444" s="7" t="s">
        <v>78</v>
      </c>
      <c r="G444" s="6" t="s">
        <v>681</v>
      </c>
      <c r="H444" s="2" t="s">
        <v>681</v>
      </c>
      <c r="I444" s="1">
        <v>30</v>
      </c>
      <c r="J444" s="1">
        <v>10</v>
      </c>
      <c r="L444" s="45">
        <f t="shared" si="32"/>
        <v>45502</v>
      </c>
      <c r="M444" s="46">
        <f t="shared" si="35"/>
        <v>45502</v>
      </c>
      <c r="Q444" s="43">
        <f t="shared" si="33"/>
        <v>0</v>
      </c>
      <c r="R444" s="43">
        <f t="shared" ca="1" si="34"/>
        <v>0</v>
      </c>
      <c r="S444" s="22"/>
      <c r="T444" s="25">
        <v>45472</v>
      </c>
    </row>
    <row r="445" spans="1:20" x14ac:dyDescent="0.3">
      <c r="A445" s="13">
        <v>442</v>
      </c>
      <c r="B445" s="1" t="s">
        <v>705</v>
      </c>
      <c r="C445" s="39">
        <f t="shared" ca="1" si="31"/>
        <v>0</v>
      </c>
      <c r="D445" t="s">
        <v>121</v>
      </c>
      <c r="E445" t="s">
        <v>143</v>
      </c>
      <c r="F445" s="7" t="s">
        <v>78</v>
      </c>
      <c r="G445" s="6" t="s">
        <v>681</v>
      </c>
      <c r="H445" s="2" t="s">
        <v>681</v>
      </c>
      <c r="I445" s="1">
        <v>30</v>
      </c>
      <c r="J445" s="1">
        <v>10</v>
      </c>
      <c r="L445" s="45">
        <f t="shared" si="32"/>
        <v>45503</v>
      </c>
      <c r="M445" s="46">
        <f t="shared" si="35"/>
        <v>45503</v>
      </c>
      <c r="Q445" s="43">
        <f t="shared" si="33"/>
        <v>0</v>
      </c>
      <c r="R445" s="43">
        <f t="shared" ca="1" si="34"/>
        <v>0</v>
      </c>
      <c r="S445" s="22"/>
      <c r="T445" s="25">
        <v>45473</v>
      </c>
    </row>
    <row r="446" spans="1:20" x14ac:dyDescent="0.3">
      <c r="A446" s="13">
        <v>443</v>
      </c>
      <c r="B446" s="1" t="s">
        <v>706</v>
      </c>
      <c r="C446" s="39">
        <f t="shared" ca="1" si="31"/>
        <v>0</v>
      </c>
      <c r="D446" t="s">
        <v>122</v>
      </c>
      <c r="E446" t="s">
        <v>143</v>
      </c>
      <c r="F446" s="7" t="s">
        <v>78</v>
      </c>
      <c r="G446" s="6" t="s">
        <v>681</v>
      </c>
      <c r="H446" s="2" t="s">
        <v>681</v>
      </c>
      <c r="I446" s="1">
        <v>30</v>
      </c>
      <c r="J446" s="1">
        <v>10</v>
      </c>
      <c r="L446" s="45">
        <f t="shared" si="32"/>
        <v>45504</v>
      </c>
      <c r="M446" s="46">
        <f t="shared" si="35"/>
        <v>45504</v>
      </c>
      <c r="Q446" s="43">
        <f t="shared" si="33"/>
        <v>0</v>
      </c>
      <c r="R446" s="43">
        <f t="shared" ca="1" si="34"/>
        <v>0</v>
      </c>
      <c r="S446" s="22"/>
      <c r="T446" s="25">
        <v>45474</v>
      </c>
    </row>
    <row r="447" spans="1:20" x14ac:dyDescent="0.3">
      <c r="A447" s="13">
        <v>444</v>
      </c>
      <c r="B447" s="1" t="s">
        <v>706</v>
      </c>
      <c r="C447" s="39">
        <f t="shared" ca="1" si="31"/>
        <v>0</v>
      </c>
      <c r="D447" t="s">
        <v>122</v>
      </c>
      <c r="E447" t="s">
        <v>333</v>
      </c>
      <c r="F447" s="7" t="s">
        <v>78</v>
      </c>
      <c r="G447" s="6" t="s">
        <v>681</v>
      </c>
      <c r="H447" s="2" t="s">
        <v>681</v>
      </c>
      <c r="I447" s="1">
        <v>30</v>
      </c>
      <c r="J447" s="1">
        <v>10</v>
      </c>
      <c r="L447" s="45">
        <f t="shared" si="32"/>
        <v>45505</v>
      </c>
      <c r="M447" s="46">
        <f t="shared" si="35"/>
        <v>45505</v>
      </c>
      <c r="Q447" s="43">
        <f t="shared" si="33"/>
        <v>0</v>
      </c>
      <c r="R447" s="43">
        <f t="shared" ca="1" si="34"/>
        <v>0</v>
      </c>
      <c r="S447" s="22"/>
      <c r="T447" s="25">
        <v>45475</v>
      </c>
    </row>
    <row r="448" spans="1:20" x14ac:dyDescent="0.3">
      <c r="A448" s="13">
        <v>445</v>
      </c>
      <c r="B448" s="1" t="s">
        <v>706</v>
      </c>
      <c r="C448" s="39">
        <f t="shared" ca="1" si="31"/>
        <v>0</v>
      </c>
      <c r="D448" t="s">
        <v>122</v>
      </c>
      <c r="E448" t="s">
        <v>371</v>
      </c>
      <c r="F448" s="7" t="s">
        <v>78</v>
      </c>
      <c r="G448" s="6" t="s">
        <v>681</v>
      </c>
      <c r="H448" s="2" t="s">
        <v>681</v>
      </c>
      <c r="I448" s="1">
        <v>30</v>
      </c>
      <c r="J448" s="1">
        <v>10</v>
      </c>
      <c r="L448" s="45">
        <f t="shared" si="32"/>
        <v>45506</v>
      </c>
      <c r="M448" s="46">
        <f t="shared" si="35"/>
        <v>45506</v>
      </c>
      <c r="Q448" s="43">
        <f t="shared" si="33"/>
        <v>0</v>
      </c>
      <c r="R448" s="43">
        <f t="shared" ca="1" si="34"/>
        <v>0</v>
      </c>
      <c r="S448" s="22"/>
      <c r="T448" s="25">
        <v>45476</v>
      </c>
    </row>
    <row r="449" spans="1:20" x14ac:dyDescent="0.3">
      <c r="A449" s="13">
        <v>446</v>
      </c>
      <c r="B449" s="1" t="s">
        <v>706</v>
      </c>
      <c r="C449" s="39">
        <f t="shared" ca="1" si="31"/>
        <v>1</v>
      </c>
      <c r="D449" t="s">
        <v>122</v>
      </c>
      <c r="E449" t="s">
        <v>144</v>
      </c>
      <c r="F449" s="7" t="s">
        <v>78</v>
      </c>
      <c r="G449" s="6" t="s">
        <v>681</v>
      </c>
      <c r="H449" s="2" t="s">
        <v>681</v>
      </c>
      <c r="I449" s="1">
        <v>30</v>
      </c>
      <c r="J449" s="1">
        <v>10</v>
      </c>
      <c r="L449" s="45">
        <f t="shared" si="32"/>
        <v>45084</v>
      </c>
      <c r="M449" s="46">
        <f t="shared" si="35"/>
        <v>45507</v>
      </c>
      <c r="N449" s="50">
        <v>45084</v>
      </c>
      <c r="Q449" s="43">
        <f t="shared" si="33"/>
        <v>0</v>
      </c>
      <c r="R449" s="43">
        <f t="shared" ca="1" si="34"/>
        <v>0</v>
      </c>
      <c r="S449" s="22"/>
      <c r="T449" s="25">
        <v>45477</v>
      </c>
    </row>
    <row r="450" spans="1:20" x14ac:dyDescent="0.3">
      <c r="A450" s="13">
        <v>447</v>
      </c>
      <c r="B450" s="1" t="s">
        <v>706</v>
      </c>
      <c r="C450" s="39">
        <f t="shared" ca="1" si="31"/>
        <v>0</v>
      </c>
      <c r="D450" t="s">
        <v>122</v>
      </c>
      <c r="E450" t="s">
        <v>145</v>
      </c>
      <c r="F450" s="7" t="s">
        <v>78</v>
      </c>
      <c r="G450" s="6" t="s">
        <v>681</v>
      </c>
      <c r="H450" s="2" t="s">
        <v>681</v>
      </c>
      <c r="I450" s="1">
        <v>30</v>
      </c>
      <c r="J450" s="1">
        <v>10</v>
      </c>
      <c r="L450" s="45">
        <f t="shared" si="32"/>
        <v>45508</v>
      </c>
      <c r="M450" s="46">
        <f t="shared" si="35"/>
        <v>45508</v>
      </c>
      <c r="Q450" s="43">
        <f t="shared" si="33"/>
        <v>0</v>
      </c>
      <c r="R450" s="43">
        <f t="shared" ca="1" si="34"/>
        <v>0</v>
      </c>
      <c r="S450" s="22"/>
      <c r="T450" s="25">
        <v>45478</v>
      </c>
    </row>
    <row r="451" spans="1:20" x14ac:dyDescent="0.3">
      <c r="A451" s="13">
        <v>448</v>
      </c>
      <c r="B451" s="1" t="s">
        <v>706</v>
      </c>
      <c r="C451" s="39">
        <f t="shared" ca="1" si="31"/>
        <v>0</v>
      </c>
      <c r="D451" t="s">
        <v>123</v>
      </c>
      <c r="E451" t="s">
        <v>10</v>
      </c>
      <c r="F451" s="7" t="s">
        <v>78</v>
      </c>
      <c r="G451" s="6" t="s">
        <v>681</v>
      </c>
      <c r="H451" s="2" t="s">
        <v>681</v>
      </c>
      <c r="I451" s="1">
        <v>30</v>
      </c>
      <c r="J451" s="1">
        <v>10</v>
      </c>
      <c r="L451" s="45">
        <f t="shared" si="32"/>
        <v>45509</v>
      </c>
      <c r="M451" s="46">
        <f t="shared" si="35"/>
        <v>45509</v>
      </c>
      <c r="Q451" s="43">
        <f t="shared" si="33"/>
        <v>0</v>
      </c>
      <c r="R451" s="43">
        <f t="shared" ca="1" si="34"/>
        <v>0</v>
      </c>
      <c r="S451" s="22"/>
      <c r="T451" s="25">
        <v>45479</v>
      </c>
    </row>
    <row r="452" spans="1:20" x14ac:dyDescent="0.3">
      <c r="A452" s="13">
        <v>449</v>
      </c>
      <c r="B452" s="1" t="s">
        <v>706</v>
      </c>
      <c r="C452" s="39">
        <f t="shared" ca="1" si="31"/>
        <v>0</v>
      </c>
      <c r="D452" t="s">
        <v>123</v>
      </c>
      <c r="E452" t="s">
        <v>11</v>
      </c>
      <c r="F452" s="7" t="s">
        <v>78</v>
      </c>
      <c r="G452" s="6" t="s">
        <v>681</v>
      </c>
      <c r="H452" s="2" t="s">
        <v>681</v>
      </c>
      <c r="I452" s="1">
        <v>30</v>
      </c>
      <c r="J452" s="1">
        <v>10</v>
      </c>
      <c r="L452" s="45">
        <f t="shared" si="32"/>
        <v>45510</v>
      </c>
      <c r="M452" s="46">
        <f t="shared" si="35"/>
        <v>45510</v>
      </c>
      <c r="Q452" s="43">
        <f t="shared" si="33"/>
        <v>0</v>
      </c>
      <c r="R452" s="43">
        <f t="shared" ca="1" si="34"/>
        <v>0</v>
      </c>
      <c r="S452" s="22"/>
      <c r="T452" s="25">
        <v>45480</v>
      </c>
    </row>
    <row r="453" spans="1:20" x14ac:dyDescent="0.3">
      <c r="A453" s="13">
        <v>450</v>
      </c>
      <c r="B453" s="1" t="s">
        <v>706</v>
      </c>
      <c r="C453" s="39">
        <f t="shared" ref="C453:C516" ca="1" si="36">IF(L453&lt;=$A$2,1,0)</f>
        <v>0</v>
      </c>
      <c r="D453" t="s">
        <v>123</v>
      </c>
      <c r="E453" t="s">
        <v>12</v>
      </c>
      <c r="F453" s="7" t="s">
        <v>78</v>
      </c>
      <c r="G453" s="6" t="s">
        <v>681</v>
      </c>
      <c r="H453" s="2" t="s">
        <v>681</v>
      </c>
      <c r="I453" s="1">
        <v>30</v>
      </c>
      <c r="J453" s="1">
        <v>10</v>
      </c>
      <c r="L453" s="45">
        <f t="shared" ref="L453:L516" si="37">IF(N453="",M453,N453)</f>
        <v>45511</v>
      </c>
      <c r="M453" s="46">
        <f t="shared" si="35"/>
        <v>45511</v>
      </c>
      <c r="Q453" s="43">
        <f t="shared" ref="Q453:Q516" si="38">IF(O453&lt;&gt;0,1,0)</f>
        <v>0</v>
      </c>
      <c r="R453" s="43">
        <f t="shared" ref="R453:R516" ca="1" si="39">IF(AND(L453&lt;($A$2+7), L453&gt;($A$2+6)),1,0)</f>
        <v>0</v>
      </c>
      <c r="S453" s="22"/>
      <c r="T453" s="25">
        <v>45481</v>
      </c>
    </row>
    <row r="454" spans="1:20" x14ac:dyDescent="0.3">
      <c r="A454" s="13">
        <v>451</v>
      </c>
      <c r="B454" s="1" t="s">
        <v>706</v>
      </c>
      <c r="C454" s="39">
        <f t="shared" ca="1" si="36"/>
        <v>0</v>
      </c>
      <c r="D454" t="s">
        <v>123</v>
      </c>
      <c r="E454" t="s">
        <v>170</v>
      </c>
      <c r="F454" s="7" t="s">
        <v>78</v>
      </c>
      <c r="G454" s="6" t="s">
        <v>681</v>
      </c>
      <c r="H454" s="2" t="s">
        <v>681</v>
      </c>
      <c r="I454" s="1">
        <v>30</v>
      </c>
      <c r="J454" s="1">
        <v>10</v>
      </c>
      <c r="L454" s="45">
        <f t="shared" si="37"/>
        <v>45512</v>
      </c>
      <c r="M454" s="46">
        <f t="shared" si="35"/>
        <v>45512</v>
      </c>
      <c r="Q454" s="43">
        <f t="shared" si="38"/>
        <v>0</v>
      </c>
      <c r="R454" s="43">
        <f t="shared" ca="1" si="39"/>
        <v>0</v>
      </c>
      <c r="S454" s="22"/>
      <c r="T454" s="25">
        <v>45482</v>
      </c>
    </row>
    <row r="455" spans="1:20" x14ac:dyDescent="0.3">
      <c r="A455" s="13">
        <v>452</v>
      </c>
      <c r="B455" s="1" t="s">
        <v>706</v>
      </c>
      <c r="C455" s="39">
        <f t="shared" ca="1" si="36"/>
        <v>0</v>
      </c>
      <c r="D455" t="s">
        <v>123</v>
      </c>
      <c r="E455" t="s">
        <v>357</v>
      </c>
      <c r="F455" s="7" t="s">
        <v>78</v>
      </c>
      <c r="G455" s="6" t="s">
        <v>681</v>
      </c>
      <c r="H455" s="2" t="s">
        <v>681</v>
      </c>
      <c r="I455" s="1">
        <v>30</v>
      </c>
      <c r="J455" s="1">
        <v>10</v>
      </c>
      <c r="L455" s="45">
        <f t="shared" si="37"/>
        <v>45513</v>
      </c>
      <c r="M455" s="46">
        <f t="shared" si="35"/>
        <v>45513</v>
      </c>
      <c r="Q455" s="43">
        <f t="shared" si="38"/>
        <v>0</v>
      </c>
      <c r="R455" s="43">
        <f t="shared" ca="1" si="39"/>
        <v>0</v>
      </c>
      <c r="S455" s="22"/>
      <c r="T455" s="25">
        <v>45483</v>
      </c>
    </row>
    <row r="456" spans="1:20" x14ac:dyDescent="0.3">
      <c r="A456" s="13">
        <v>453</v>
      </c>
      <c r="B456" s="1" t="s">
        <v>706</v>
      </c>
      <c r="C456" s="39">
        <f t="shared" ca="1" si="36"/>
        <v>0</v>
      </c>
      <c r="D456" t="s">
        <v>123</v>
      </c>
      <c r="E456" t="s">
        <v>180</v>
      </c>
      <c r="F456" s="7" t="s">
        <v>78</v>
      </c>
      <c r="G456" s="6" t="s">
        <v>681</v>
      </c>
      <c r="H456" s="2" t="s">
        <v>681</v>
      </c>
      <c r="I456" s="1">
        <v>30</v>
      </c>
      <c r="J456" s="1">
        <v>10</v>
      </c>
      <c r="L456" s="45">
        <f t="shared" si="37"/>
        <v>45514</v>
      </c>
      <c r="M456" s="46">
        <f t="shared" si="35"/>
        <v>45514</v>
      </c>
      <c r="Q456" s="43">
        <f t="shared" si="38"/>
        <v>0</v>
      </c>
      <c r="R456" s="43">
        <f t="shared" ca="1" si="39"/>
        <v>0</v>
      </c>
      <c r="S456" s="22"/>
      <c r="T456" s="25">
        <v>45484</v>
      </c>
    </row>
    <row r="457" spans="1:20" x14ac:dyDescent="0.3">
      <c r="A457" s="13">
        <v>454</v>
      </c>
      <c r="B457" s="1" t="s">
        <v>706</v>
      </c>
      <c r="C457" s="39">
        <f t="shared" ca="1" si="36"/>
        <v>0</v>
      </c>
      <c r="D457" t="s">
        <v>278</v>
      </c>
      <c r="E457" t="s">
        <v>26</v>
      </c>
      <c r="F457" s="7" t="s">
        <v>78</v>
      </c>
      <c r="G457" s="6" t="s">
        <v>681</v>
      </c>
      <c r="H457" s="2" t="s">
        <v>681</v>
      </c>
      <c r="I457" s="1">
        <v>30</v>
      </c>
      <c r="J457" s="1">
        <v>5</v>
      </c>
      <c r="L457" s="45">
        <f t="shared" si="37"/>
        <v>45515</v>
      </c>
      <c r="M457" s="46">
        <f t="shared" si="35"/>
        <v>45515</v>
      </c>
      <c r="Q457" s="43">
        <f t="shared" si="38"/>
        <v>0</v>
      </c>
      <c r="R457" s="43">
        <f t="shared" ca="1" si="39"/>
        <v>0</v>
      </c>
      <c r="S457" s="22"/>
      <c r="T457" s="25">
        <v>45485</v>
      </c>
    </row>
    <row r="458" spans="1:20" x14ac:dyDescent="0.3">
      <c r="A458" s="13">
        <v>455</v>
      </c>
      <c r="B458" s="1" t="s">
        <v>706</v>
      </c>
      <c r="C458" s="39">
        <f t="shared" ca="1" si="36"/>
        <v>0</v>
      </c>
      <c r="D458" t="s">
        <v>278</v>
      </c>
      <c r="E458" t="s">
        <v>25</v>
      </c>
      <c r="F458" s="7" t="s">
        <v>78</v>
      </c>
      <c r="G458" s="6" t="s">
        <v>681</v>
      </c>
      <c r="H458" s="2" t="s">
        <v>681</v>
      </c>
      <c r="I458" s="1">
        <v>30</v>
      </c>
      <c r="J458" s="1">
        <v>5</v>
      </c>
      <c r="L458" s="45">
        <f t="shared" si="37"/>
        <v>45516</v>
      </c>
      <c r="M458" s="46">
        <f t="shared" si="35"/>
        <v>45516</v>
      </c>
      <c r="Q458" s="43">
        <f t="shared" si="38"/>
        <v>0</v>
      </c>
      <c r="R458" s="43">
        <f t="shared" ca="1" si="39"/>
        <v>0</v>
      </c>
      <c r="S458" s="22"/>
      <c r="T458" s="25">
        <v>45486</v>
      </c>
    </row>
    <row r="459" spans="1:20" x14ac:dyDescent="0.3">
      <c r="A459" s="13">
        <v>456</v>
      </c>
      <c r="B459" s="1" t="s">
        <v>706</v>
      </c>
      <c r="C459" s="39">
        <f t="shared" ca="1" si="36"/>
        <v>0</v>
      </c>
      <c r="D459" t="s">
        <v>279</v>
      </c>
      <c r="E459" t="s">
        <v>26</v>
      </c>
      <c r="F459" s="7" t="s">
        <v>78</v>
      </c>
      <c r="G459" s="6" t="s">
        <v>681</v>
      </c>
      <c r="H459" s="2" t="s">
        <v>681</v>
      </c>
      <c r="I459" s="1">
        <v>30</v>
      </c>
      <c r="J459" s="1">
        <v>5</v>
      </c>
      <c r="L459" s="45">
        <f t="shared" si="37"/>
        <v>45517</v>
      </c>
      <c r="M459" s="46">
        <f t="shared" si="35"/>
        <v>45517</v>
      </c>
      <c r="Q459" s="43">
        <f t="shared" si="38"/>
        <v>0</v>
      </c>
      <c r="R459" s="43">
        <f t="shared" ca="1" si="39"/>
        <v>0</v>
      </c>
      <c r="S459" s="22"/>
      <c r="T459" s="25">
        <v>45487</v>
      </c>
    </row>
    <row r="460" spans="1:20" x14ac:dyDescent="0.3">
      <c r="A460" s="13">
        <v>457</v>
      </c>
      <c r="B460" s="1" t="s">
        <v>706</v>
      </c>
      <c r="C460" s="39">
        <f t="shared" ca="1" si="36"/>
        <v>0</v>
      </c>
      <c r="D460" t="s">
        <v>279</v>
      </c>
      <c r="E460" t="s">
        <v>25</v>
      </c>
      <c r="F460" s="7" t="s">
        <v>78</v>
      </c>
      <c r="G460" s="6" t="s">
        <v>681</v>
      </c>
      <c r="H460" s="2" t="s">
        <v>681</v>
      </c>
      <c r="I460" s="1">
        <v>30</v>
      </c>
      <c r="J460" s="1">
        <v>5</v>
      </c>
      <c r="L460" s="45">
        <f t="shared" si="37"/>
        <v>45518</v>
      </c>
      <c r="M460" s="46">
        <f t="shared" si="35"/>
        <v>45518</v>
      </c>
      <c r="Q460" s="43">
        <f t="shared" si="38"/>
        <v>0</v>
      </c>
      <c r="R460" s="43">
        <f t="shared" ca="1" si="39"/>
        <v>0</v>
      </c>
      <c r="S460" s="22"/>
      <c r="T460" s="25">
        <v>45488</v>
      </c>
    </row>
    <row r="461" spans="1:20" x14ac:dyDescent="0.3">
      <c r="A461" s="13">
        <v>458</v>
      </c>
      <c r="B461" s="1" t="s">
        <v>706</v>
      </c>
      <c r="C461" s="39">
        <f t="shared" ca="1" si="36"/>
        <v>0</v>
      </c>
      <c r="D461" t="s">
        <v>37</v>
      </c>
      <c r="E461" t="s">
        <v>342</v>
      </c>
      <c r="F461" s="7" t="s">
        <v>78</v>
      </c>
      <c r="G461" s="6" t="s">
        <v>681</v>
      </c>
      <c r="H461" s="2" t="s">
        <v>681</v>
      </c>
      <c r="I461" s="1">
        <v>30</v>
      </c>
      <c r="J461" s="1">
        <v>5</v>
      </c>
      <c r="L461" s="45">
        <f t="shared" si="37"/>
        <v>45519</v>
      </c>
      <c r="M461" s="46">
        <f t="shared" si="35"/>
        <v>45519</v>
      </c>
      <c r="Q461" s="43">
        <f t="shared" si="38"/>
        <v>0</v>
      </c>
      <c r="R461" s="43">
        <f t="shared" ca="1" si="39"/>
        <v>0</v>
      </c>
      <c r="S461" s="22"/>
      <c r="T461" s="25">
        <v>45489</v>
      </c>
    </row>
    <row r="462" spans="1:20" x14ac:dyDescent="0.3">
      <c r="A462" s="13">
        <v>459</v>
      </c>
      <c r="B462" s="1" t="s">
        <v>706</v>
      </c>
      <c r="C462" s="39">
        <f t="shared" ca="1" si="36"/>
        <v>0</v>
      </c>
      <c r="D462" t="s">
        <v>37</v>
      </c>
      <c r="E462" t="s">
        <v>343</v>
      </c>
      <c r="F462" s="7" t="s">
        <v>78</v>
      </c>
      <c r="G462" s="6" t="s">
        <v>681</v>
      </c>
      <c r="H462" s="2" t="s">
        <v>681</v>
      </c>
      <c r="I462" s="1">
        <v>30</v>
      </c>
      <c r="J462" s="1">
        <v>5</v>
      </c>
      <c r="L462" s="45">
        <f t="shared" si="37"/>
        <v>45520</v>
      </c>
      <c r="M462" s="46">
        <f t="shared" si="35"/>
        <v>45520</v>
      </c>
      <c r="Q462" s="43">
        <f t="shared" si="38"/>
        <v>0</v>
      </c>
      <c r="R462" s="43">
        <f t="shared" ca="1" si="39"/>
        <v>0</v>
      </c>
      <c r="S462" s="22"/>
      <c r="T462" s="25">
        <v>45490</v>
      </c>
    </row>
    <row r="463" spans="1:20" x14ac:dyDescent="0.3">
      <c r="A463" s="13">
        <v>460</v>
      </c>
      <c r="B463" s="1" t="s">
        <v>706</v>
      </c>
      <c r="C463" s="39">
        <f t="shared" ca="1" si="36"/>
        <v>0</v>
      </c>
      <c r="D463" t="s">
        <v>37</v>
      </c>
      <c r="E463" t="s">
        <v>372</v>
      </c>
      <c r="F463" s="7" t="s">
        <v>78</v>
      </c>
      <c r="G463" s="6" t="s">
        <v>681</v>
      </c>
      <c r="H463" s="2" t="s">
        <v>681</v>
      </c>
      <c r="I463" s="1">
        <v>30</v>
      </c>
      <c r="J463" s="1">
        <v>5</v>
      </c>
      <c r="L463" s="45">
        <f t="shared" si="37"/>
        <v>45521</v>
      </c>
      <c r="M463" s="46">
        <f t="shared" si="35"/>
        <v>45521</v>
      </c>
      <c r="Q463" s="43">
        <f t="shared" si="38"/>
        <v>0</v>
      </c>
      <c r="R463" s="43">
        <f t="shared" ca="1" si="39"/>
        <v>0</v>
      </c>
      <c r="S463" s="22"/>
      <c r="T463" s="25">
        <v>45491</v>
      </c>
    </row>
    <row r="464" spans="1:20" x14ac:dyDescent="0.3">
      <c r="A464" s="13">
        <v>461</v>
      </c>
      <c r="B464" s="1" t="s">
        <v>706</v>
      </c>
      <c r="C464" s="39">
        <f t="shared" ca="1" si="36"/>
        <v>0</v>
      </c>
      <c r="D464" t="s">
        <v>37</v>
      </c>
      <c r="E464" t="s">
        <v>181</v>
      </c>
      <c r="F464" s="7" t="s">
        <v>78</v>
      </c>
      <c r="G464" s="6" t="s">
        <v>681</v>
      </c>
      <c r="H464" s="2" t="s">
        <v>681</v>
      </c>
      <c r="I464" s="1">
        <v>30</v>
      </c>
      <c r="J464" s="1">
        <v>5</v>
      </c>
      <c r="L464" s="45">
        <f t="shared" si="37"/>
        <v>45522</v>
      </c>
      <c r="M464" s="46">
        <f t="shared" si="35"/>
        <v>45522</v>
      </c>
      <c r="Q464" s="43">
        <f t="shared" si="38"/>
        <v>0</v>
      </c>
      <c r="R464" s="43">
        <f t="shared" ca="1" si="39"/>
        <v>0</v>
      </c>
      <c r="S464" s="22"/>
      <c r="T464" s="25">
        <v>45492</v>
      </c>
    </row>
    <row r="465" spans="1:20" x14ac:dyDescent="0.3">
      <c r="A465" s="13">
        <v>462</v>
      </c>
      <c r="B465" s="1" t="s">
        <v>706</v>
      </c>
      <c r="C465" s="39">
        <f t="shared" ca="1" si="36"/>
        <v>0</v>
      </c>
      <c r="D465" t="s">
        <v>37</v>
      </c>
      <c r="E465" t="s">
        <v>148</v>
      </c>
      <c r="F465" s="7" t="s">
        <v>78</v>
      </c>
      <c r="G465" s="6" t="s">
        <v>681</v>
      </c>
      <c r="H465" s="2" t="s">
        <v>681</v>
      </c>
      <c r="I465" s="1">
        <v>30</v>
      </c>
      <c r="J465" s="1">
        <v>5</v>
      </c>
      <c r="L465" s="45">
        <f t="shared" si="37"/>
        <v>45523</v>
      </c>
      <c r="M465" s="46">
        <f t="shared" si="35"/>
        <v>45523</v>
      </c>
      <c r="Q465" s="43">
        <f t="shared" si="38"/>
        <v>0</v>
      </c>
      <c r="R465" s="43">
        <f t="shared" ca="1" si="39"/>
        <v>0</v>
      </c>
      <c r="S465" s="22"/>
      <c r="T465" s="25">
        <v>45493</v>
      </c>
    </row>
    <row r="466" spans="1:20" x14ac:dyDescent="0.3">
      <c r="A466" s="13">
        <v>463</v>
      </c>
      <c r="B466" s="1" t="s">
        <v>706</v>
      </c>
      <c r="C466" s="39">
        <f t="shared" ca="1" si="36"/>
        <v>0</v>
      </c>
      <c r="D466" t="s">
        <v>37</v>
      </c>
      <c r="E466" t="s">
        <v>170</v>
      </c>
      <c r="F466" s="7" t="s">
        <v>78</v>
      </c>
      <c r="G466" s="6" t="s">
        <v>681</v>
      </c>
      <c r="H466" s="2" t="s">
        <v>681</v>
      </c>
      <c r="I466" s="1">
        <v>30</v>
      </c>
      <c r="J466" s="1">
        <v>5</v>
      </c>
      <c r="L466" s="45">
        <f t="shared" si="37"/>
        <v>45524</v>
      </c>
      <c r="M466" s="46">
        <f t="shared" si="35"/>
        <v>45524</v>
      </c>
      <c r="Q466" s="43">
        <f t="shared" si="38"/>
        <v>0</v>
      </c>
      <c r="R466" s="43">
        <f t="shared" ca="1" si="39"/>
        <v>0</v>
      </c>
      <c r="S466" s="22"/>
      <c r="T466" s="25">
        <v>45494</v>
      </c>
    </row>
    <row r="467" spans="1:20" x14ac:dyDescent="0.3">
      <c r="A467" s="13">
        <v>464</v>
      </c>
      <c r="B467" s="1" t="s">
        <v>706</v>
      </c>
      <c r="C467" s="39">
        <f t="shared" ca="1" si="36"/>
        <v>0</v>
      </c>
      <c r="D467" t="s">
        <v>124</v>
      </c>
      <c r="E467" t="s">
        <v>10</v>
      </c>
      <c r="F467" s="7" t="s">
        <v>78</v>
      </c>
      <c r="G467" s="6" t="s">
        <v>681</v>
      </c>
      <c r="H467" s="2" t="s">
        <v>681</v>
      </c>
      <c r="I467" s="1">
        <v>30</v>
      </c>
      <c r="J467" s="1">
        <v>10</v>
      </c>
      <c r="L467" s="45">
        <f t="shared" si="37"/>
        <v>45525</v>
      </c>
      <c r="M467" s="46">
        <f t="shared" si="35"/>
        <v>45525</v>
      </c>
      <c r="Q467" s="43">
        <f t="shared" si="38"/>
        <v>0</v>
      </c>
      <c r="R467" s="43">
        <f t="shared" ca="1" si="39"/>
        <v>0</v>
      </c>
      <c r="S467" s="22"/>
      <c r="T467" s="25">
        <v>45495</v>
      </c>
    </row>
    <row r="468" spans="1:20" x14ac:dyDescent="0.3">
      <c r="A468" s="13">
        <v>465</v>
      </c>
      <c r="B468" s="1" t="s">
        <v>706</v>
      </c>
      <c r="C468" s="39">
        <f t="shared" ca="1" si="36"/>
        <v>0</v>
      </c>
      <c r="D468" t="s">
        <v>124</v>
      </c>
      <c r="E468" t="s">
        <v>37</v>
      </c>
      <c r="F468" s="7" t="s">
        <v>78</v>
      </c>
      <c r="G468" s="6" t="s">
        <v>681</v>
      </c>
      <c r="H468" s="2" t="s">
        <v>681</v>
      </c>
      <c r="I468" s="1">
        <v>30</v>
      </c>
      <c r="J468" s="1">
        <v>10</v>
      </c>
      <c r="L468" s="45">
        <f t="shared" si="37"/>
        <v>45526</v>
      </c>
      <c r="M468" s="46">
        <f t="shared" si="35"/>
        <v>45526</v>
      </c>
      <c r="Q468" s="43">
        <f t="shared" si="38"/>
        <v>0</v>
      </c>
      <c r="R468" s="43">
        <f t="shared" ca="1" si="39"/>
        <v>0</v>
      </c>
      <c r="S468" s="22"/>
      <c r="T468" s="25">
        <v>45496</v>
      </c>
    </row>
    <row r="469" spans="1:20" x14ac:dyDescent="0.3">
      <c r="A469" s="13">
        <v>466</v>
      </c>
      <c r="B469" s="1" t="s">
        <v>706</v>
      </c>
      <c r="C469" s="39">
        <f t="shared" ca="1" si="36"/>
        <v>0</v>
      </c>
      <c r="D469" t="s">
        <v>124</v>
      </c>
      <c r="E469" t="s">
        <v>373</v>
      </c>
      <c r="F469" s="7" t="s">
        <v>78</v>
      </c>
      <c r="G469" s="6" t="s">
        <v>681</v>
      </c>
      <c r="H469" s="2" t="s">
        <v>681</v>
      </c>
      <c r="I469" s="1">
        <v>30</v>
      </c>
      <c r="J469" s="1">
        <v>10</v>
      </c>
      <c r="L469" s="45">
        <f t="shared" si="37"/>
        <v>45527</v>
      </c>
      <c r="M469" s="46">
        <f t="shared" si="35"/>
        <v>45527</v>
      </c>
      <c r="Q469" s="43">
        <f t="shared" si="38"/>
        <v>0</v>
      </c>
      <c r="R469" s="43">
        <f t="shared" ca="1" si="39"/>
        <v>0</v>
      </c>
      <c r="S469" s="22"/>
      <c r="T469" s="25">
        <v>45497</v>
      </c>
    </row>
    <row r="470" spans="1:20" x14ac:dyDescent="0.3">
      <c r="A470" s="13">
        <v>467</v>
      </c>
      <c r="B470" s="1" t="s">
        <v>706</v>
      </c>
      <c r="C470" s="39">
        <f t="shared" ca="1" si="36"/>
        <v>0</v>
      </c>
      <c r="D470" t="s">
        <v>125</v>
      </c>
      <c r="E470" t="s">
        <v>10</v>
      </c>
      <c r="F470" s="7" t="s">
        <v>78</v>
      </c>
      <c r="G470" s="6" t="s">
        <v>681</v>
      </c>
      <c r="H470" s="2" t="s">
        <v>681</v>
      </c>
      <c r="I470" s="1">
        <v>30</v>
      </c>
      <c r="J470" s="1">
        <v>10</v>
      </c>
      <c r="L470" s="45">
        <f t="shared" si="37"/>
        <v>45528</v>
      </c>
      <c r="M470" s="46">
        <f t="shared" si="35"/>
        <v>45528</v>
      </c>
      <c r="Q470" s="43">
        <f t="shared" si="38"/>
        <v>0</v>
      </c>
      <c r="R470" s="43">
        <f t="shared" ca="1" si="39"/>
        <v>0</v>
      </c>
      <c r="S470" s="22"/>
      <c r="T470" s="25">
        <v>45498</v>
      </c>
    </row>
    <row r="471" spans="1:20" x14ac:dyDescent="0.3">
      <c r="A471" s="13">
        <v>468</v>
      </c>
      <c r="B471" s="1" t="s">
        <v>706</v>
      </c>
      <c r="C471" s="39">
        <f t="shared" ca="1" si="36"/>
        <v>0</v>
      </c>
      <c r="D471" t="s">
        <v>125</v>
      </c>
      <c r="E471" t="s">
        <v>37</v>
      </c>
      <c r="F471" s="7" t="s">
        <v>78</v>
      </c>
      <c r="G471" s="6" t="s">
        <v>681</v>
      </c>
      <c r="H471" s="2" t="s">
        <v>681</v>
      </c>
      <c r="I471" s="1">
        <v>30</v>
      </c>
      <c r="J471" s="1">
        <v>10</v>
      </c>
      <c r="L471" s="45">
        <f t="shared" si="37"/>
        <v>45529</v>
      </c>
      <c r="M471" s="46">
        <f t="shared" si="35"/>
        <v>45529</v>
      </c>
      <c r="Q471" s="43">
        <f t="shared" si="38"/>
        <v>0</v>
      </c>
      <c r="R471" s="43">
        <f t="shared" ca="1" si="39"/>
        <v>0</v>
      </c>
      <c r="S471" s="22"/>
      <c r="T471" s="25">
        <v>45499</v>
      </c>
    </row>
    <row r="472" spans="1:20" x14ac:dyDescent="0.3">
      <c r="A472" s="13">
        <v>469</v>
      </c>
      <c r="B472" s="1" t="s">
        <v>706</v>
      </c>
      <c r="C472" s="39">
        <f t="shared" ca="1" si="36"/>
        <v>0</v>
      </c>
      <c r="D472" t="s">
        <v>125</v>
      </c>
      <c r="E472" t="s">
        <v>373</v>
      </c>
      <c r="F472" s="7" t="s">
        <v>78</v>
      </c>
      <c r="G472" s="6" t="s">
        <v>681</v>
      </c>
      <c r="H472" s="2" t="s">
        <v>681</v>
      </c>
      <c r="I472" s="1">
        <v>30</v>
      </c>
      <c r="J472" s="1">
        <v>10</v>
      </c>
      <c r="L472" s="45">
        <f t="shared" si="37"/>
        <v>45530</v>
      </c>
      <c r="M472" s="46">
        <f t="shared" si="35"/>
        <v>45530</v>
      </c>
      <c r="Q472" s="43">
        <f t="shared" si="38"/>
        <v>0</v>
      </c>
      <c r="R472" s="43">
        <f t="shared" ca="1" si="39"/>
        <v>0</v>
      </c>
      <c r="S472" s="22"/>
      <c r="T472" s="25">
        <v>45500</v>
      </c>
    </row>
    <row r="473" spans="1:20" x14ac:dyDescent="0.3">
      <c r="A473" s="13">
        <v>470</v>
      </c>
      <c r="B473" s="1" t="s">
        <v>706</v>
      </c>
      <c r="C473" s="39">
        <f t="shared" ca="1" si="36"/>
        <v>0</v>
      </c>
      <c r="D473" t="s">
        <v>126</v>
      </c>
      <c r="E473" t="s">
        <v>144</v>
      </c>
      <c r="F473" s="7" t="s">
        <v>78</v>
      </c>
      <c r="G473" s="6" t="s">
        <v>681</v>
      </c>
      <c r="H473" s="2" t="s">
        <v>681</v>
      </c>
      <c r="I473" s="1">
        <v>30</v>
      </c>
      <c r="J473" s="1">
        <v>10</v>
      </c>
      <c r="L473" s="45">
        <f t="shared" si="37"/>
        <v>45531</v>
      </c>
      <c r="M473" s="46">
        <f t="shared" si="35"/>
        <v>45531</v>
      </c>
      <c r="Q473" s="43">
        <f t="shared" si="38"/>
        <v>0</v>
      </c>
      <c r="R473" s="43">
        <f t="shared" ca="1" si="39"/>
        <v>0</v>
      </c>
      <c r="S473" s="22"/>
      <c r="T473" s="25">
        <v>45501</v>
      </c>
    </row>
    <row r="474" spans="1:20" x14ac:dyDescent="0.3">
      <c r="A474" s="13">
        <v>471</v>
      </c>
      <c r="B474" s="1" t="s">
        <v>706</v>
      </c>
      <c r="C474" s="39">
        <f t="shared" ca="1" si="36"/>
        <v>0</v>
      </c>
      <c r="D474" t="s">
        <v>126</v>
      </c>
      <c r="E474" t="s">
        <v>182</v>
      </c>
      <c r="F474" s="7" t="s">
        <v>78</v>
      </c>
      <c r="G474" s="6" t="s">
        <v>681</v>
      </c>
      <c r="H474" s="2" t="s">
        <v>681</v>
      </c>
      <c r="I474" s="1">
        <v>30</v>
      </c>
      <c r="J474" s="1">
        <v>10</v>
      </c>
      <c r="L474" s="45">
        <f t="shared" si="37"/>
        <v>45532</v>
      </c>
      <c r="M474" s="46">
        <f t="shared" si="35"/>
        <v>45532</v>
      </c>
      <c r="Q474" s="43">
        <f t="shared" si="38"/>
        <v>0</v>
      </c>
      <c r="R474" s="43">
        <f t="shared" ca="1" si="39"/>
        <v>0</v>
      </c>
      <c r="S474" s="22"/>
      <c r="T474" s="25">
        <v>45502</v>
      </c>
    </row>
    <row r="475" spans="1:20" x14ac:dyDescent="0.3">
      <c r="A475" s="13">
        <v>472</v>
      </c>
      <c r="B475" s="1" t="s">
        <v>706</v>
      </c>
      <c r="C475" s="39">
        <f t="shared" ca="1" si="36"/>
        <v>0</v>
      </c>
      <c r="D475" t="s">
        <v>126</v>
      </c>
      <c r="E475" t="s">
        <v>183</v>
      </c>
      <c r="F475" s="7" t="s">
        <v>78</v>
      </c>
      <c r="G475" s="6" t="s">
        <v>681</v>
      </c>
      <c r="H475" s="2" t="s">
        <v>681</v>
      </c>
      <c r="I475" s="1">
        <v>30</v>
      </c>
      <c r="J475" s="1">
        <v>10</v>
      </c>
      <c r="L475" s="45">
        <f t="shared" si="37"/>
        <v>45533</v>
      </c>
      <c r="M475" s="46">
        <f t="shared" si="35"/>
        <v>45533</v>
      </c>
      <c r="Q475" s="43">
        <f t="shared" si="38"/>
        <v>0</v>
      </c>
      <c r="R475" s="43">
        <f t="shared" ca="1" si="39"/>
        <v>0</v>
      </c>
      <c r="S475" s="22"/>
      <c r="T475" s="25">
        <v>45503</v>
      </c>
    </row>
    <row r="476" spans="1:20" x14ac:dyDescent="0.3">
      <c r="A476" s="13">
        <v>473</v>
      </c>
      <c r="B476" s="1" t="s">
        <v>706</v>
      </c>
      <c r="C476" s="39">
        <f t="shared" ca="1" si="36"/>
        <v>0</v>
      </c>
      <c r="D476" t="s">
        <v>126</v>
      </c>
      <c r="E476" t="s">
        <v>184</v>
      </c>
      <c r="F476" s="7" t="s">
        <v>78</v>
      </c>
      <c r="G476" s="6" t="s">
        <v>681</v>
      </c>
      <c r="H476" s="2" t="s">
        <v>681</v>
      </c>
      <c r="I476" s="1">
        <v>30</v>
      </c>
      <c r="J476" s="1">
        <v>10</v>
      </c>
      <c r="L476" s="45">
        <f t="shared" si="37"/>
        <v>45534</v>
      </c>
      <c r="M476" s="46">
        <f t="shared" si="35"/>
        <v>45534</v>
      </c>
      <c r="Q476" s="43">
        <f t="shared" si="38"/>
        <v>0</v>
      </c>
      <c r="R476" s="43">
        <f t="shared" ca="1" si="39"/>
        <v>0</v>
      </c>
      <c r="S476" s="22"/>
      <c r="T476" s="25">
        <v>45504</v>
      </c>
    </row>
    <row r="477" spans="1:20" x14ac:dyDescent="0.3">
      <c r="A477" s="13">
        <v>474</v>
      </c>
      <c r="B477" s="1" t="s">
        <v>706</v>
      </c>
      <c r="C477" s="39">
        <f t="shared" ca="1" si="36"/>
        <v>0</v>
      </c>
      <c r="D477" t="s">
        <v>126</v>
      </c>
      <c r="E477" t="s">
        <v>184</v>
      </c>
      <c r="F477" s="7" t="s">
        <v>78</v>
      </c>
      <c r="G477" s="6" t="s">
        <v>681</v>
      </c>
      <c r="H477" s="2" t="s">
        <v>681</v>
      </c>
      <c r="I477" s="1">
        <v>30</v>
      </c>
      <c r="J477" s="1">
        <v>10</v>
      </c>
      <c r="L477" s="45">
        <f t="shared" si="37"/>
        <v>45535</v>
      </c>
      <c r="M477" s="46">
        <f t="shared" si="35"/>
        <v>45535</v>
      </c>
      <c r="Q477" s="43">
        <f t="shared" si="38"/>
        <v>0</v>
      </c>
      <c r="R477" s="43">
        <f t="shared" ca="1" si="39"/>
        <v>0</v>
      </c>
      <c r="S477" s="22"/>
      <c r="T477" s="25">
        <v>45505</v>
      </c>
    </row>
    <row r="478" spans="1:20" x14ac:dyDescent="0.3">
      <c r="A478" s="13">
        <v>475</v>
      </c>
      <c r="B478" s="1" t="s">
        <v>706</v>
      </c>
      <c r="C478" s="39">
        <f t="shared" ca="1" si="36"/>
        <v>0</v>
      </c>
      <c r="D478" t="s">
        <v>126</v>
      </c>
      <c r="E478" t="s">
        <v>183</v>
      </c>
      <c r="F478" s="7" t="s">
        <v>78</v>
      </c>
      <c r="G478" s="6" t="s">
        <v>681</v>
      </c>
      <c r="H478" s="2" t="s">
        <v>681</v>
      </c>
      <c r="I478" s="1">
        <v>30</v>
      </c>
      <c r="J478" s="1">
        <v>10</v>
      </c>
      <c r="L478" s="45">
        <f t="shared" si="37"/>
        <v>45536</v>
      </c>
      <c r="M478" s="46">
        <f t="shared" si="35"/>
        <v>45536</v>
      </c>
      <c r="Q478" s="43">
        <f t="shared" si="38"/>
        <v>0</v>
      </c>
      <c r="R478" s="43">
        <f t="shared" ca="1" si="39"/>
        <v>0</v>
      </c>
      <c r="S478" s="22"/>
      <c r="T478" s="25">
        <v>45506</v>
      </c>
    </row>
    <row r="479" spans="1:20" x14ac:dyDescent="0.3">
      <c r="A479" s="13">
        <v>476</v>
      </c>
      <c r="B479" s="1" t="s">
        <v>706</v>
      </c>
      <c r="C479" s="39">
        <f t="shared" ca="1" si="36"/>
        <v>0</v>
      </c>
      <c r="D479" t="s">
        <v>126</v>
      </c>
      <c r="E479" t="s">
        <v>185</v>
      </c>
      <c r="F479" s="7" t="s">
        <v>78</v>
      </c>
      <c r="G479" s="6" t="s">
        <v>681</v>
      </c>
      <c r="H479" s="2" t="s">
        <v>681</v>
      </c>
      <c r="I479" s="1">
        <v>30</v>
      </c>
      <c r="J479" s="1">
        <v>10</v>
      </c>
      <c r="L479" s="45">
        <f t="shared" si="37"/>
        <v>45537</v>
      </c>
      <c r="M479" s="46">
        <f t="shared" si="35"/>
        <v>45537</v>
      </c>
      <c r="Q479" s="43">
        <f t="shared" si="38"/>
        <v>0</v>
      </c>
      <c r="R479" s="43">
        <f t="shared" ca="1" si="39"/>
        <v>0</v>
      </c>
      <c r="S479" s="22"/>
      <c r="T479" s="25">
        <v>45507</v>
      </c>
    </row>
    <row r="480" spans="1:20" x14ac:dyDescent="0.3">
      <c r="A480" s="13">
        <v>477</v>
      </c>
      <c r="B480" s="1" t="s">
        <v>706</v>
      </c>
      <c r="C480" s="39">
        <f t="shared" ca="1" si="36"/>
        <v>0</v>
      </c>
      <c r="D480" t="s">
        <v>126</v>
      </c>
      <c r="E480" t="s">
        <v>152</v>
      </c>
      <c r="F480" s="7" t="s">
        <v>78</v>
      </c>
      <c r="G480" s="6" t="s">
        <v>681</v>
      </c>
      <c r="H480" s="2" t="s">
        <v>681</v>
      </c>
      <c r="I480" s="1">
        <v>30</v>
      </c>
      <c r="J480" s="1">
        <v>10</v>
      </c>
      <c r="L480" s="45">
        <f t="shared" si="37"/>
        <v>45538</v>
      </c>
      <c r="M480" s="46">
        <f t="shared" si="35"/>
        <v>45538</v>
      </c>
      <c r="Q480" s="43">
        <f t="shared" si="38"/>
        <v>0</v>
      </c>
      <c r="R480" s="43">
        <f t="shared" ca="1" si="39"/>
        <v>0</v>
      </c>
      <c r="S480" s="22"/>
      <c r="T480" s="25">
        <v>45508</v>
      </c>
    </row>
    <row r="481" spans="1:20" x14ac:dyDescent="0.3">
      <c r="A481" s="13">
        <v>478</v>
      </c>
      <c r="B481" s="1" t="s">
        <v>706</v>
      </c>
      <c r="C481" s="39">
        <f t="shared" ca="1" si="36"/>
        <v>0</v>
      </c>
      <c r="D481" t="s">
        <v>126</v>
      </c>
      <c r="E481" t="s">
        <v>374</v>
      </c>
      <c r="F481" s="7" t="s">
        <v>78</v>
      </c>
      <c r="G481" s="6" t="s">
        <v>681</v>
      </c>
      <c r="H481" s="2" t="s">
        <v>681</v>
      </c>
      <c r="I481" s="1">
        <v>30</v>
      </c>
      <c r="J481" s="1">
        <v>10</v>
      </c>
      <c r="L481" s="45">
        <f t="shared" si="37"/>
        <v>45539</v>
      </c>
      <c r="M481" s="46">
        <f t="shared" ref="M481:M544" si="40">T481+I481</f>
        <v>45539</v>
      </c>
      <c r="Q481" s="43">
        <f t="shared" si="38"/>
        <v>0</v>
      </c>
      <c r="R481" s="43">
        <f t="shared" ca="1" si="39"/>
        <v>0</v>
      </c>
      <c r="S481" s="22"/>
      <c r="T481" s="25">
        <v>45509</v>
      </c>
    </row>
    <row r="482" spans="1:20" x14ac:dyDescent="0.3">
      <c r="A482" s="13">
        <v>479</v>
      </c>
      <c r="B482" s="1" t="s">
        <v>707</v>
      </c>
      <c r="C482" s="39">
        <f t="shared" ca="1" si="36"/>
        <v>1</v>
      </c>
      <c r="D482" t="s">
        <v>127</v>
      </c>
      <c r="E482" t="s">
        <v>143</v>
      </c>
      <c r="F482" s="7" t="s">
        <v>78</v>
      </c>
      <c r="G482" s="6" t="s">
        <v>681</v>
      </c>
      <c r="H482" s="2" t="s">
        <v>681</v>
      </c>
      <c r="I482" s="1">
        <v>90</v>
      </c>
      <c r="J482" s="1">
        <v>15</v>
      </c>
      <c r="L482" s="45">
        <f t="shared" si="37"/>
        <v>45084</v>
      </c>
      <c r="M482" s="46">
        <f t="shared" si="40"/>
        <v>45600</v>
      </c>
      <c r="N482" s="50">
        <v>45084</v>
      </c>
      <c r="Q482" s="43">
        <f t="shared" si="38"/>
        <v>0</v>
      </c>
      <c r="R482" s="43">
        <f t="shared" ca="1" si="39"/>
        <v>0</v>
      </c>
      <c r="S482" s="22"/>
      <c r="T482" s="25">
        <v>45510</v>
      </c>
    </row>
    <row r="483" spans="1:20" x14ac:dyDescent="0.3">
      <c r="A483" s="13">
        <v>480</v>
      </c>
      <c r="B483" s="1" t="s">
        <v>707</v>
      </c>
      <c r="C483" s="39">
        <f t="shared" ca="1" si="36"/>
        <v>0</v>
      </c>
      <c r="D483" t="s">
        <v>127</v>
      </c>
      <c r="E483" t="s">
        <v>333</v>
      </c>
      <c r="F483" s="7" t="s">
        <v>78</v>
      </c>
      <c r="G483" s="6" t="s">
        <v>681</v>
      </c>
      <c r="H483" s="2" t="s">
        <v>681</v>
      </c>
      <c r="I483" s="1">
        <v>90</v>
      </c>
      <c r="J483" s="1">
        <v>15</v>
      </c>
      <c r="L483" s="45">
        <f t="shared" si="37"/>
        <v>45601</v>
      </c>
      <c r="M483" s="46">
        <f t="shared" si="40"/>
        <v>45601</v>
      </c>
      <c r="Q483" s="43">
        <f t="shared" si="38"/>
        <v>0</v>
      </c>
      <c r="R483" s="43">
        <f t="shared" ca="1" si="39"/>
        <v>0</v>
      </c>
      <c r="S483" s="22"/>
      <c r="T483" s="25">
        <v>45511</v>
      </c>
    </row>
    <row r="484" spans="1:20" x14ac:dyDescent="0.3">
      <c r="A484" s="13">
        <v>481</v>
      </c>
      <c r="B484" s="1" t="s">
        <v>707</v>
      </c>
      <c r="C484" s="39">
        <f t="shared" ca="1" si="36"/>
        <v>0</v>
      </c>
      <c r="D484" t="s">
        <v>127</v>
      </c>
      <c r="E484" t="s">
        <v>161</v>
      </c>
      <c r="F484" s="7" t="s">
        <v>78</v>
      </c>
      <c r="G484" s="6" t="s">
        <v>681</v>
      </c>
      <c r="H484" s="2" t="s">
        <v>681</v>
      </c>
      <c r="I484" s="1">
        <v>60</v>
      </c>
      <c r="J484" s="1">
        <v>5</v>
      </c>
      <c r="L484" s="45">
        <f t="shared" si="37"/>
        <v>45572</v>
      </c>
      <c r="M484" s="46">
        <f t="shared" si="40"/>
        <v>45572</v>
      </c>
      <c r="Q484" s="43">
        <f t="shared" si="38"/>
        <v>0</v>
      </c>
      <c r="R484" s="43">
        <f t="shared" ca="1" si="39"/>
        <v>0</v>
      </c>
      <c r="S484" s="22"/>
      <c r="T484" s="25">
        <v>45512</v>
      </c>
    </row>
    <row r="485" spans="1:20" x14ac:dyDescent="0.3">
      <c r="A485" s="13">
        <v>482</v>
      </c>
      <c r="B485" s="1" t="s">
        <v>707</v>
      </c>
      <c r="C485" s="39">
        <f t="shared" ca="1" si="36"/>
        <v>0</v>
      </c>
      <c r="D485" t="s">
        <v>127</v>
      </c>
      <c r="E485" t="s">
        <v>144</v>
      </c>
      <c r="F485" s="7" t="s">
        <v>78</v>
      </c>
      <c r="G485" s="6" t="s">
        <v>681</v>
      </c>
      <c r="H485" s="2" t="s">
        <v>681</v>
      </c>
      <c r="I485" s="1">
        <v>180</v>
      </c>
      <c r="J485" s="1">
        <v>10</v>
      </c>
      <c r="L485" s="45">
        <f t="shared" si="37"/>
        <v>45693</v>
      </c>
      <c r="M485" s="46">
        <f t="shared" si="40"/>
        <v>45693</v>
      </c>
      <c r="Q485" s="43">
        <f t="shared" si="38"/>
        <v>0</v>
      </c>
      <c r="R485" s="43">
        <f t="shared" ca="1" si="39"/>
        <v>0</v>
      </c>
      <c r="S485" s="22"/>
      <c r="T485" s="25">
        <v>45513</v>
      </c>
    </row>
    <row r="486" spans="1:20" x14ac:dyDescent="0.3">
      <c r="A486" s="13">
        <v>483</v>
      </c>
      <c r="B486" s="1" t="s">
        <v>707</v>
      </c>
      <c r="C486" s="39">
        <f t="shared" ca="1" si="36"/>
        <v>0</v>
      </c>
      <c r="D486" t="s">
        <v>127</v>
      </c>
      <c r="E486" t="s">
        <v>145</v>
      </c>
      <c r="F486" s="7" t="s">
        <v>78</v>
      </c>
      <c r="G486" s="6" t="s">
        <v>681</v>
      </c>
      <c r="H486" s="2" t="s">
        <v>681</v>
      </c>
      <c r="I486" s="1">
        <v>30</v>
      </c>
      <c r="J486" s="1">
        <v>10</v>
      </c>
      <c r="L486" s="45">
        <f t="shared" si="37"/>
        <v>45544</v>
      </c>
      <c r="M486" s="46">
        <f t="shared" si="40"/>
        <v>45544</v>
      </c>
      <c r="Q486" s="43">
        <f t="shared" si="38"/>
        <v>0</v>
      </c>
      <c r="R486" s="43">
        <f t="shared" ca="1" si="39"/>
        <v>0</v>
      </c>
      <c r="S486" s="22"/>
      <c r="T486" s="25">
        <v>45514</v>
      </c>
    </row>
    <row r="487" spans="1:20" x14ac:dyDescent="0.3">
      <c r="A487" s="13">
        <v>484</v>
      </c>
      <c r="B487" s="1" t="s">
        <v>707</v>
      </c>
      <c r="C487" s="39">
        <f t="shared" ca="1" si="36"/>
        <v>0</v>
      </c>
      <c r="D487" t="s">
        <v>127</v>
      </c>
      <c r="E487" t="s">
        <v>375</v>
      </c>
      <c r="F487" s="7" t="s">
        <v>78</v>
      </c>
      <c r="G487" s="6" t="s">
        <v>681</v>
      </c>
      <c r="H487" s="2" t="s">
        <v>681</v>
      </c>
      <c r="I487" s="1">
        <v>30</v>
      </c>
      <c r="J487" s="1">
        <v>10</v>
      </c>
      <c r="L487" s="45">
        <f t="shared" si="37"/>
        <v>45545</v>
      </c>
      <c r="M487" s="46">
        <f t="shared" si="40"/>
        <v>45545</v>
      </c>
      <c r="Q487" s="43">
        <f t="shared" si="38"/>
        <v>0</v>
      </c>
      <c r="R487" s="43">
        <f t="shared" ca="1" si="39"/>
        <v>0</v>
      </c>
      <c r="S487" s="22"/>
      <c r="T487" s="25">
        <v>45515</v>
      </c>
    </row>
    <row r="488" spans="1:20" x14ac:dyDescent="0.3">
      <c r="A488" s="13">
        <v>485</v>
      </c>
      <c r="B488" s="1" t="s">
        <v>707</v>
      </c>
      <c r="C488" s="39">
        <f t="shared" ca="1" si="36"/>
        <v>0</v>
      </c>
      <c r="D488" t="s">
        <v>128</v>
      </c>
      <c r="E488" t="s">
        <v>10</v>
      </c>
      <c r="F488" s="7" t="s">
        <v>78</v>
      </c>
      <c r="G488" s="6" t="s">
        <v>681</v>
      </c>
      <c r="H488" s="2" t="s">
        <v>681</v>
      </c>
      <c r="I488" s="1">
        <v>30</v>
      </c>
      <c r="J488" s="1">
        <v>10</v>
      </c>
      <c r="L488" s="45">
        <f t="shared" si="37"/>
        <v>45546</v>
      </c>
      <c r="M488" s="46">
        <f t="shared" si="40"/>
        <v>45546</v>
      </c>
      <c r="Q488" s="43">
        <f t="shared" si="38"/>
        <v>0</v>
      </c>
      <c r="R488" s="43">
        <f t="shared" ca="1" si="39"/>
        <v>0</v>
      </c>
      <c r="S488" s="22"/>
      <c r="T488" s="25">
        <v>45516</v>
      </c>
    </row>
    <row r="489" spans="1:20" x14ac:dyDescent="0.3">
      <c r="A489" s="13">
        <v>486</v>
      </c>
      <c r="B489" s="1" t="s">
        <v>707</v>
      </c>
      <c r="C489" s="39">
        <f t="shared" ca="1" si="36"/>
        <v>0</v>
      </c>
      <c r="D489" t="s">
        <v>128</v>
      </c>
      <c r="E489" t="s">
        <v>37</v>
      </c>
      <c r="F489" s="7" t="s">
        <v>78</v>
      </c>
      <c r="G489" s="6" t="s">
        <v>681</v>
      </c>
      <c r="H489" s="2" t="s">
        <v>681</v>
      </c>
      <c r="I489" s="1">
        <v>30</v>
      </c>
      <c r="J489" s="1">
        <v>10</v>
      </c>
      <c r="L489" s="45">
        <f t="shared" si="37"/>
        <v>45547</v>
      </c>
      <c r="M489" s="46">
        <f t="shared" si="40"/>
        <v>45547</v>
      </c>
      <c r="Q489" s="43">
        <f t="shared" si="38"/>
        <v>0</v>
      </c>
      <c r="R489" s="43">
        <f t="shared" ca="1" si="39"/>
        <v>0</v>
      </c>
      <c r="S489" s="22"/>
      <c r="T489" s="25">
        <v>45517</v>
      </c>
    </row>
    <row r="490" spans="1:20" x14ac:dyDescent="0.3">
      <c r="A490" s="13">
        <v>487</v>
      </c>
      <c r="B490" s="1" t="s">
        <v>707</v>
      </c>
      <c r="C490" s="39">
        <f t="shared" ca="1" si="36"/>
        <v>0</v>
      </c>
      <c r="D490" t="s">
        <v>128</v>
      </c>
      <c r="E490" t="s">
        <v>373</v>
      </c>
      <c r="F490" s="7" t="s">
        <v>78</v>
      </c>
      <c r="G490" s="6" t="s">
        <v>681</v>
      </c>
      <c r="H490" s="2" t="s">
        <v>681</v>
      </c>
      <c r="I490" s="1">
        <v>30</v>
      </c>
      <c r="J490" s="1">
        <v>10</v>
      </c>
      <c r="L490" s="45">
        <f t="shared" si="37"/>
        <v>45548</v>
      </c>
      <c r="M490" s="46">
        <f t="shared" si="40"/>
        <v>45548</v>
      </c>
      <c r="Q490" s="43">
        <f t="shared" si="38"/>
        <v>0</v>
      </c>
      <c r="R490" s="43">
        <f t="shared" ca="1" si="39"/>
        <v>0</v>
      </c>
      <c r="S490" s="22"/>
      <c r="T490" s="25">
        <v>45518</v>
      </c>
    </row>
    <row r="491" spans="1:20" x14ac:dyDescent="0.3">
      <c r="A491" s="13">
        <v>488</v>
      </c>
      <c r="B491" s="1" t="s">
        <v>707</v>
      </c>
      <c r="C491" s="39">
        <f t="shared" ca="1" si="36"/>
        <v>1</v>
      </c>
      <c r="D491" t="s">
        <v>129</v>
      </c>
      <c r="E491" t="s">
        <v>10</v>
      </c>
      <c r="F491" s="7" t="s">
        <v>78</v>
      </c>
      <c r="G491" s="6" t="s">
        <v>681</v>
      </c>
      <c r="H491" s="2" t="s">
        <v>681</v>
      </c>
      <c r="I491" s="1">
        <v>30</v>
      </c>
      <c r="J491" s="1">
        <v>10</v>
      </c>
      <c r="L491" s="45">
        <f t="shared" si="37"/>
        <v>45084</v>
      </c>
      <c r="M491" s="46">
        <f t="shared" si="40"/>
        <v>45549</v>
      </c>
      <c r="N491" s="50">
        <v>45084</v>
      </c>
      <c r="Q491" s="43">
        <f t="shared" si="38"/>
        <v>0</v>
      </c>
      <c r="R491" s="43">
        <f t="shared" ca="1" si="39"/>
        <v>0</v>
      </c>
      <c r="S491" s="22"/>
      <c r="T491" s="25">
        <v>45519</v>
      </c>
    </row>
    <row r="492" spans="1:20" x14ac:dyDescent="0.3">
      <c r="A492" s="13">
        <v>489</v>
      </c>
      <c r="B492" s="1" t="s">
        <v>707</v>
      </c>
      <c r="C492" s="39">
        <f t="shared" ca="1" si="36"/>
        <v>0</v>
      </c>
      <c r="D492" t="s">
        <v>129</v>
      </c>
      <c r="E492" t="s">
        <v>37</v>
      </c>
      <c r="F492" s="7" t="s">
        <v>78</v>
      </c>
      <c r="G492" s="6" t="s">
        <v>681</v>
      </c>
      <c r="H492" s="2" t="s">
        <v>681</v>
      </c>
      <c r="I492" s="1">
        <v>30</v>
      </c>
      <c r="J492" s="1">
        <v>10</v>
      </c>
      <c r="L492" s="45">
        <f t="shared" si="37"/>
        <v>45550</v>
      </c>
      <c r="M492" s="46">
        <f t="shared" si="40"/>
        <v>45550</v>
      </c>
      <c r="Q492" s="43">
        <f t="shared" si="38"/>
        <v>0</v>
      </c>
      <c r="R492" s="43">
        <f t="shared" ca="1" si="39"/>
        <v>0</v>
      </c>
      <c r="S492" s="22"/>
      <c r="T492" s="25">
        <v>45520</v>
      </c>
    </row>
    <row r="493" spans="1:20" x14ac:dyDescent="0.3">
      <c r="A493" s="13">
        <v>490</v>
      </c>
      <c r="B493" s="1" t="s">
        <v>707</v>
      </c>
      <c r="C493" s="39">
        <f t="shared" ca="1" si="36"/>
        <v>0</v>
      </c>
      <c r="D493" t="s">
        <v>129</v>
      </c>
      <c r="E493" t="s">
        <v>373</v>
      </c>
      <c r="F493" s="7" t="s">
        <v>78</v>
      </c>
      <c r="G493" s="6" t="s">
        <v>681</v>
      </c>
      <c r="H493" s="2" t="s">
        <v>681</v>
      </c>
      <c r="I493" s="1">
        <v>30</v>
      </c>
      <c r="J493" s="1">
        <v>10</v>
      </c>
      <c r="L493" s="45">
        <f t="shared" si="37"/>
        <v>45551</v>
      </c>
      <c r="M493" s="46">
        <f t="shared" si="40"/>
        <v>45551</v>
      </c>
      <c r="Q493" s="43">
        <f t="shared" si="38"/>
        <v>0</v>
      </c>
      <c r="R493" s="43">
        <f t="shared" ca="1" si="39"/>
        <v>0</v>
      </c>
      <c r="S493" s="22"/>
      <c r="T493" s="25">
        <v>45521</v>
      </c>
    </row>
    <row r="494" spans="1:20" x14ac:dyDescent="0.3">
      <c r="A494" s="13">
        <v>491</v>
      </c>
      <c r="B494" s="1" t="s">
        <v>707</v>
      </c>
      <c r="C494" s="39">
        <f t="shared" ca="1" si="36"/>
        <v>0</v>
      </c>
      <c r="D494" t="s">
        <v>129</v>
      </c>
      <c r="E494" t="s">
        <v>346</v>
      </c>
      <c r="F494" s="7" t="s">
        <v>78</v>
      </c>
      <c r="G494" s="6" t="s">
        <v>681</v>
      </c>
      <c r="H494" s="2" t="s">
        <v>681</v>
      </c>
      <c r="I494" s="1">
        <v>30</v>
      </c>
      <c r="J494" s="1">
        <v>10</v>
      </c>
      <c r="L494" s="45">
        <f t="shared" si="37"/>
        <v>45552</v>
      </c>
      <c r="M494" s="46">
        <f t="shared" si="40"/>
        <v>45552</v>
      </c>
      <c r="Q494" s="43">
        <f t="shared" si="38"/>
        <v>0</v>
      </c>
      <c r="R494" s="43">
        <f t="shared" ca="1" si="39"/>
        <v>0</v>
      </c>
      <c r="S494" s="22"/>
      <c r="T494" s="25">
        <v>45522</v>
      </c>
    </row>
    <row r="495" spans="1:20" x14ac:dyDescent="0.3">
      <c r="A495" s="13">
        <v>492</v>
      </c>
      <c r="B495" s="1" t="s">
        <v>707</v>
      </c>
      <c r="C495" s="39">
        <f t="shared" ca="1" si="36"/>
        <v>0</v>
      </c>
      <c r="D495" t="s">
        <v>129</v>
      </c>
      <c r="E495" t="s">
        <v>376</v>
      </c>
      <c r="F495" s="7" t="s">
        <v>78</v>
      </c>
      <c r="G495" s="6" t="s">
        <v>681</v>
      </c>
      <c r="H495" s="2" t="s">
        <v>681</v>
      </c>
      <c r="I495" s="1">
        <v>30</v>
      </c>
      <c r="J495" s="1">
        <v>10</v>
      </c>
      <c r="L495" s="45">
        <f t="shared" si="37"/>
        <v>45553</v>
      </c>
      <c r="M495" s="46">
        <f t="shared" si="40"/>
        <v>45553</v>
      </c>
      <c r="Q495" s="43">
        <f t="shared" si="38"/>
        <v>0</v>
      </c>
      <c r="R495" s="43">
        <f t="shared" ca="1" si="39"/>
        <v>0</v>
      </c>
      <c r="S495" s="22"/>
      <c r="T495" s="25">
        <v>45523</v>
      </c>
    </row>
    <row r="496" spans="1:20" x14ac:dyDescent="0.3">
      <c r="A496" s="13">
        <v>493</v>
      </c>
      <c r="B496" s="1" t="s">
        <v>707</v>
      </c>
      <c r="C496" s="39">
        <f t="shared" ca="1" si="36"/>
        <v>0</v>
      </c>
      <c r="D496" t="s">
        <v>129</v>
      </c>
      <c r="E496" t="s">
        <v>177</v>
      </c>
      <c r="F496" s="7" t="s">
        <v>78</v>
      </c>
      <c r="G496" s="6" t="s">
        <v>681</v>
      </c>
      <c r="H496" s="2" t="s">
        <v>681</v>
      </c>
      <c r="I496" s="1">
        <v>30</v>
      </c>
      <c r="J496" s="1">
        <v>10</v>
      </c>
      <c r="L496" s="45">
        <f t="shared" si="37"/>
        <v>45554</v>
      </c>
      <c r="M496" s="46">
        <f t="shared" si="40"/>
        <v>45554</v>
      </c>
      <c r="Q496" s="43">
        <f t="shared" si="38"/>
        <v>0</v>
      </c>
      <c r="R496" s="43">
        <f t="shared" ca="1" si="39"/>
        <v>0</v>
      </c>
      <c r="S496" s="22"/>
      <c r="T496" s="25">
        <v>45524</v>
      </c>
    </row>
    <row r="497" spans="1:20" x14ac:dyDescent="0.3">
      <c r="A497" s="13">
        <v>494</v>
      </c>
      <c r="B497" s="1" t="s">
        <v>707</v>
      </c>
      <c r="C497" s="39">
        <f t="shared" ca="1" si="36"/>
        <v>0</v>
      </c>
      <c r="D497" t="s">
        <v>129</v>
      </c>
      <c r="E497" t="s">
        <v>186</v>
      </c>
      <c r="F497" s="7" t="s">
        <v>78</v>
      </c>
      <c r="G497" s="6" t="s">
        <v>681</v>
      </c>
      <c r="H497" s="2" t="s">
        <v>681</v>
      </c>
      <c r="I497" s="1">
        <v>30</v>
      </c>
      <c r="J497" s="1">
        <v>10</v>
      </c>
      <c r="L497" s="45">
        <f t="shared" si="37"/>
        <v>45555</v>
      </c>
      <c r="M497" s="46">
        <f t="shared" si="40"/>
        <v>45555</v>
      </c>
      <c r="Q497" s="43">
        <f t="shared" si="38"/>
        <v>0</v>
      </c>
      <c r="R497" s="43">
        <f t="shared" ca="1" si="39"/>
        <v>0</v>
      </c>
      <c r="S497" s="22"/>
      <c r="T497" s="25">
        <v>45525</v>
      </c>
    </row>
    <row r="498" spans="1:20" x14ac:dyDescent="0.3">
      <c r="A498" s="13">
        <v>495</v>
      </c>
      <c r="B498" s="1" t="s">
        <v>707</v>
      </c>
      <c r="C498" s="39">
        <f t="shared" ca="1" si="36"/>
        <v>0</v>
      </c>
      <c r="D498" t="s">
        <v>129</v>
      </c>
      <c r="E498" t="s">
        <v>170</v>
      </c>
      <c r="F498" s="7" t="s">
        <v>78</v>
      </c>
      <c r="G498" s="6" t="s">
        <v>681</v>
      </c>
      <c r="H498" s="2" t="s">
        <v>681</v>
      </c>
      <c r="I498" s="1">
        <v>30</v>
      </c>
      <c r="J498" s="1">
        <v>10</v>
      </c>
      <c r="L498" s="45">
        <f t="shared" si="37"/>
        <v>45556</v>
      </c>
      <c r="M498" s="46">
        <f t="shared" si="40"/>
        <v>45556</v>
      </c>
      <c r="Q498" s="43">
        <f t="shared" si="38"/>
        <v>0</v>
      </c>
      <c r="R498" s="43">
        <f t="shared" ca="1" si="39"/>
        <v>0</v>
      </c>
      <c r="S498" s="22"/>
      <c r="T498" s="25">
        <v>45526</v>
      </c>
    </row>
    <row r="499" spans="1:20" x14ac:dyDescent="0.3">
      <c r="A499" s="13">
        <v>496</v>
      </c>
      <c r="B499" s="1" t="s">
        <v>707</v>
      </c>
      <c r="C499" s="39">
        <f t="shared" ca="1" si="36"/>
        <v>0</v>
      </c>
      <c r="D499" t="s">
        <v>129</v>
      </c>
      <c r="E499" t="s">
        <v>366</v>
      </c>
      <c r="F499" s="7" t="s">
        <v>78</v>
      </c>
      <c r="G499" s="6" t="s">
        <v>681</v>
      </c>
      <c r="H499" s="2" t="s">
        <v>681</v>
      </c>
      <c r="I499" s="1">
        <v>30</v>
      </c>
      <c r="J499" s="1">
        <v>10</v>
      </c>
      <c r="L499" s="45">
        <f t="shared" si="37"/>
        <v>45557</v>
      </c>
      <c r="M499" s="46">
        <f t="shared" si="40"/>
        <v>45557</v>
      </c>
      <c r="Q499" s="43">
        <f t="shared" si="38"/>
        <v>0</v>
      </c>
      <c r="R499" s="43">
        <f t="shared" ca="1" si="39"/>
        <v>0</v>
      </c>
      <c r="S499" s="22"/>
      <c r="T499" s="25">
        <v>45527</v>
      </c>
    </row>
    <row r="500" spans="1:20" x14ac:dyDescent="0.3">
      <c r="A500" s="13">
        <v>497</v>
      </c>
      <c r="B500" s="1" t="s">
        <v>707</v>
      </c>
      <c r="C500" s="39">
        <f t="shared" ca="1" si="36"/>
        <v>0</v>
      </c>
      <c r="D500" t="s">
        <v>129</v>
      </c>
      <c r="E500" t="s">
        <v>187</v>
      </c>
      <c r="F500" s="7" t="s">
        <v>78</v>
      </c>
      <c r="G500" s="6" t="s">
        <v>681</v>
      </c>
      <c r="H500" s="2" t="s">
        <v>681</v>
      </c>
      <c r="I500" s="1">
        <v>30</v>
      </c>
      <c r="J500" s="1">
        <v>10</v>
      </c>
      <c r="L500" s="45">
        <f t="shared" si="37"/>
        <v>45558</v>
      </c>
      <c r="M500" s="46">
        <f t="shared" si="40"/>
        <v>45558</v>
      </c>
      <c r="Q500" s="43">
        <f t="shared" si="38"/>
        <v>0</v>
      </c>
      <c r="R500" s="43">
        <f t="shared" ca="1" si="39"/>
        <v>0</v>
      </c>
      <c r="S500" s="22"/>
      <c r="T500" s="25">
        <v>45528</v>
      </c>
    </row>
    <row r="501" spans="1:20" x14ac:dyDescent="0.3">
      <c r="A501" s="13">
        <v>498</v>
      </c>
      <c r="B501" s="1" t="s">
        <v>707</v>
      </c>
      <c r="C501" s="39">
        <f t="shared" ca="1" si="36"/>
        <v>0</v>
      </c>
      <c r="D501" t="s">
        <v>130</v>
      </c>
      <c r="E501" t="s">
        <v>345</v>
      </c>
      <c r="F501" s="7" t="s">
        <v>78</v>
      </c>
      <c r="G501" s="6" t="s">
        <v>681</v>
      </c>
      <c r="H501" s="2" t="s">
        <v>681</v>
      </c>
      <c r="I501" s="1">
        <v>7</v>
      </c>
      <c r="J501" s="1">
        <v>10</v>
      </c>
      <c r="L501" s="45">
        <f t="shared" si="37"/>
        <v>45536</v>
      </c>
      <c r="M501" s="46">
        <f t="shared" si="40"/>
        <v>45536</v>
      </c>
      <c r="Q501" s="43">
        <f t="shared" si="38"/>
        <v>0</v>
      </c>
      <c r="R501" s="43">
        <f t="shared" ca="1" si="39"/>
        <v>0</v>
      </c>
      <c r="S501" s="22"/>
      <c r="T501" s="25">
        <v>45529</v>
      </c>
    </row>
    <row r="502" spans="1:20" x14ac:dyDescent="0.3">
      <c r="A502" s="13">
        <v>499</v>
      </c>
      <c r="B502" s="1" t="s">
        <v>707</v>
      </c>
      <c r="C502" s="39">
        <f t="shared" ca="1" si="36"/>
        <v>0</v>
      </c>
      <c r="D502" t="s">
        <v>130</v>
      </c>
      <c r="E502" t="s">
        <v>346</v>
      </c>
      <c r="F502" s="7" t="s">
        <v>78</v>
      </c>
      <c r="G502" s="6" t="s">
        <v>681</v>
      </c>
      <c r="H502" s="2" t="s">
        <v>681</v>
      </c>
      <c r="I502" s="1">
        <v>7</v>
      </c>
      <c r="J502" s="1">
        <v>10</v>
      </c>
      <c r="L502" s="45">
        <f t="shared" si="37"/>
        <v>45537</v>
      </c>
      <c r="M502" s="46">
        <f t="shared" si="40"/>
        <v>45537</v>
      </c>
      <c r="Q502" s="43">
        <f t="shared" si="38"/>
        <v>0</v>
      </c>
      <c r="R502" s="43">
        <f t="shared" ca="1" si="39"/>
        <v>0</v>
      </c>
      <c r="S502" s="22"/>
      <c r="T502" s="25">
        <v>45530</v>
      </c>
    </row>
    <row r="503" spans="1:20" x14ac:dyDescent="0.3">
      <c r="A503" s="13">
        <v>500</v>
      </c>
      <c r="B503" s="1" t="s">
        <v>707</v>
      </c>
      <c r="C503" s="39">
        <f t="shared" ca="1" si="36"/>
        <v>1</v>
      </c>
      <c r="D503" t="s">
        <v>130</v>
      </c>
      <c r="E503" t="s">
        <v>347</v>
      </c>
      <c r="F503" s="7" t="s">
        <v>78</v>
      </c>
      <c r="G503" s="6" t="s">
        <v>681</v>
      </c>
      <c r="H503" s="2" t="s">
        <v>681</v>
      </c>
      <c r="I503" s="1">
        <v>7</v>
      </c>
      <c r="J503" s="1">
        <v>10</v>
      </c>
      <c r="L503" s="45">
        <f t="shared" si="37"/>
        <v>45084</v>
      </c>
      <c r="M503" s="46">
        <f t="shared" si="40"/>
        <v>45538</v>
      </c>
      <c r="N503" s="50">
        <v>45084</v>
      </c>
      <c r="Q503" s="43">
        <f t="shared" si="38"/>
        <v>0</v>
      </c>
      <c r="R503" s="43">
        <f t="shared" ca="1" si="39"/>
        <v>0</v>
      </c>
      <c r="S503" s="22">
        <v>1</v>
      </c>
      <c r="T503" s="25">
        <v>45531</v>
      </c>
    </row>
    <row r="504" spans="1:20" x14ac:dyDescent="0.3">
      <c r="A504" s="13">
        <v>501</v>
      </c>
      <c r="B504" s="1" t="s">
        <v>707</v>
      </c>
      <c r="C504" s="39">
        <f t="shared" ca="1" si="36"/>
        <v>0</v>
      </c>
      <c r="D504" t="s">
        <v>130</v>
      </c>
      <c r="E504" t="s">
        <v>348</v>
      </c>
      <c r="F504" s="7" t="s">
        <v>78</v>
      </c>
      <c r="G504" s="6" t="s">
        <v>681</v>
      </c>
      <c r="H504" s="2" t="s">
        <v>681</v>
      </c>
      <c r="I504" s="1">
        <v>7</v>
      </c>
      <c r="J504" s="1">
        <v>10</v>
      </c>
      <c r="L504" s="45">
        <f t="shared" si="37"/>
        <v>45539</v>
      </c>
      <c r="M504" s="46">
        <f t="shared" si="40"/>
        <v>45539</v>
      </c>
      <c r="Q504" s="43">
        <f t="shared" si="38"/>
        <v>0</v>
      </c>
      <c r="R504" s="43">
        <f t="shared" ca="1" si="39"/>
        <v>0</v>
      </c>
      <c r="S504" s="22"/>
      <c r="T504" s="25">
        <v>45532</v>
      </c>
    </row>
    <row r="505" spans="1:20" x14ac:dyDescent="0.3">
      <c r="A505" s="13">
        <v>502</v>
      </c>
      <c r="B505" s="1" t="s">
        <v>707</v>
      </c>
      <c r="C505" s="39">
        <f t="shared" ca="1" si="36"/>
        <v>0</v>
      </c>
      <c r="D505" t="s">
        <v>130</v>
      </c>
      <c r="E505" t="s">
        <v>349</v>
      </c>
      <c r="F505" s="7" t="s">
        <v>78</v>
      </c>
      <c r="G505" s="6" t="s">
        <v>681</v>
      </c>
      <c r="H505" s="2" t="s">
        <v>681</v>
      </c>
      <c r="I505" s="1">
        <v>30</v>
      </c>
      <c r="J505" s="1">
        <v>15</v>
      </c>
      <c r="L505" s="45">
        <f t="shared" si="37"/>
        <v>45563</v>
      </c>
      <c r="M505" s="46">
        <f t="shared" si="40"/>
        <v>45563</v>
      </c>
      <c r="Q505" s="43">
        <f t="shared" si="38"/>
        <v>0</v>
      </c>
      <c r="R505" s="43">
        <f t="shared" ca="1" si="39"/>
        <v>0</v>
      </c>
      <c r="S505" s="22"/>
      <c r="T505" s="25">
        <v>45533</v>
      </c>
    </row>
    <row r="506" spans="1:20" x14ac:dyDescent="0.3">
      <c r="A506" s="13">
        <v>503</v>
      </c>
      <c r="B506" s="1" t="s">
        <v>707</v>
      </c>
      <c r="C506" s="39">
        <f t="shared" ca="1" si="36"/>
        <v>0</v>
      </c>
      <c r="D506" t="s">
        <v>130</v>
      </c>
      <c r="E506" t="s">
        <v>10</v>
      </c>
      <c r="F506" s="7" t="s">
        <v>78</v>
      </c>
      <c r="G506" s="6" t="s">
        <v>681</v>
      </c>
      <c r="H506" s="2" t="s">
        <v>681</v>
      </c>
      <c r="I506" s="1">
        <v>30</v>
      </c>
      <c r="J506" s="1">
        <v>10</v>
      </c>
      <c r="L506" s="45">
        <f t="shared" si="37"/>
        <v>45564</v>
      </c>
      <c r="M506" s="46">
        <f t="shared" si="40"/>
        <v>45564</v>
      </c>
      <c r="Q506" s="43">
        <f t="shared" si="38"/>
        <v>0</v>
      </c>
      <c r="R506" s="43">
        <f t="shared" ca="1" si="39"/>
        <v>0</v>
      </c>
      <c r="S506" s="22"/>
      <c r="T506" s="25">
        <v>45534</v>
      </c>
    </row>
    <row r="507" spans="1:20" x14ac:dyDescent="0.3">
      <c r="A507" s="13">
        <v>504</v>
      </c>
      <c r="B507" s="1" t="s">
        <v>707</v>
      </c>
      <c r="C507" s="39">
        <f t="shared" ca="1" si="36"/>
        <v>0</v>
      </c>
      <c r="D507" t="s">
        <v>280</v>
      </c>
      <c r="E507" t="s">
        <v>377</v>
      </c>
      <c r="F507" s="7" t="s">
        <v>78</v>
      </c>
      <c r="G507" s="6" t="s">
        <v>681</v>
      </c>
      <c r="H507" s="2" t="s">
        <v>681</v>
      </c>
      <c r="I507" s="1">
        <v>7</v>
      </c>
      <c r="J507" s="1">
        <v>10</v>
      </c>
      <c r="L507" s="45">
        <f t="shared" si="37"/>
        <v>45542</v>
      </c>
      <c r="M507" s="46">
        <f t="shared" si="40"/>
        <v>45542</v>
      </c>
      <c r="Q507" s="43">
        <f t="shared" si="38"/>
        <v>0</v>
      </c>
      <c r="R507" s="43">
        <f t="shared" ca="1" si="39"/>
        <v>0</v>
      </c>
      <c r="S507" s="22"/>
      <c r="T507" s="25">
        <v>45535</v>
      </c>
    </row>
    <row r="508" spans="1:20" x14ac:dyDescent="0.3">
      <c r="A508" s="13">
        <v>505</v>
      </c>
      <c r="B508" s="1" t="s">
        <v>707</v>
      </c>
      <c r="C508" s="39">
        <f t="shared" ca="1" si="36"/>
        <v>0</v>
      </c>
      <c r="D508" t="s">
        <v>280</v>
      </c>
      <c r="E508" t="s">
        <v>378</v>
      </c>
      <c r="F508" s="7" t="s">
        <v>78</v>
      </c>
      <c r="G508" s="6" t="s">
        <v>681</v>
      </c>
      <c r="H508" s="2" t="s">
        <v>681</v>
      </c>
      <c r="I508" s="1">
        <v>30</v>
      </c>
      <c r="J508" s="1">
        <v>30</v>
      </c>
      <c r="L508" s="45">
        <f t="shared" si="37"/>
        <v>45566</v>
      </c>
      <c r="M508" s="46">
        <f t="shared" si="40"/>
        <v>45566</v>
      </c>
      <c r="Q508" s="43">
        <f t="shared" si="38"/>
        <v>0</v>
      </c>
      <c r="R508" s="43">
        <f t="shared" ca="1" si="39"/>
        <v>0</v>
      </c>
      <c r="S508" s="22"/>
      <c r="T508" s="25">
        <v>45536</v>
      </c>
    </row>
    <row r="509" spans="1:20" x14ac:dyDescent="0.3">
      <c r="A509" s="13">
        <v>506</v>
      </c>
      <c r="B509" s="1" t="s">
        <v>707</v>
      </c>
      <c r="C509" s="39">
        <f t="shared" ca="1" si="36"/>
        <v>0</v>
      </c>
      <c r="D509" t="s">
        <v>280</v>
      </c>
      <c r="E509" t="s">
        <v>352</v>
      </c>
      <c r="F509" s="7" t="s">
        <v>78</v>
      </c>
      <c r="G509" s="6" t="s">
        <v>681</v>
      </c>
      <c r="H509" s="2" t="s">
        <v>681</v>
      </c>
      <c r="I509" s="1">
        <v>30</v>
      </c>
      <c r="J509" s="1">
        <v>20</v>
      </c>
      <c r="L509" s="45">
        <f t="shared" si="37"/>
        <v>45567</v>
      </c>
      <c r="M509" s="46">
        <f t="shared" si="40"/>
        <v>45567</v>
      </c>
      <c r="Q509" s="43">
        <f t="shared" si="38"/>
        <v>0</v>
      </c>
      <c r="R509" s="43">
        <f t="shared" ca="1" si="39"/>
        <v>0</v>
      </c>
      <c r="S509" s="22"/>
      <c r="T509" s="25">
        <v>45537</v>
      </c>
    </row>
    <row r="510" spans="1:20" x14ac:dyDescent="0.3">
      <c r="A510" s="13">
        <v>507</v>
      </c>
      <c r="B510" s="1" t="s">
        <v>707</v>
      </c>
      <c r="C510" s="39">
        <f t="shared" ca="1" si="36"/>
        <v>0</v>
      </c>
      <c r="D510" t="s">
        <v>281</v>
      </c>
      <c r="E510" t="s">
        <v>345</v>
      </c>
      <c r="F510" s="7" t="s">
        <v>78</v>
      </c>
      <c r="G510" s="6" t="s">
        <v>681</v>
      </c>
      <c r="H510" s="2" t="s">
        <v>681</v>
      </c>
      <c r="I510" s="1">
        <v>7</v>
      </c>
      <c r="J510" s="1">
        <v>10</v>
      </c>
      <c r="L510" s="45">
        <f t="shared" si="37"/>
        <v>45545</v>
      </c>
      <c r="M510" s="46">
        <f t="shared" si="40"/>
        <v>45545</v>
      </c>
      <c r="Q510" s="43">
        <f t="shared" si="38"/>
        <v>0</v>
      </c>
      <c r="R510" s="43">
        <f t="shared" ca="1" si="39"/>
        <v>0</v>
      </c>
      <c r="S510" s="22"/>
      <c r="T510" s="25">
        <v>45538</v>
      </c>
    </row>
    <row r="511" spans="1:20" x14ac:dyDescent="0.3">
      <c r="A511" s="13">
        <v>508</v>
      </c>
      <c r="B511" s="1" t="s">
        <v>707</v>
      </c>
      <c r="C511" s="39">
        <f t="shared" ca="1" si="36"/>
        <v>0</v>
      </c>
      <c r="D511" t="s">
        <v>281</v>
      </c>
      <c r="E511" t="s">
        <v>346</v>
      </c>
      <c r="F511" s="7" t="s">
        <v>78</v>
      </c>
      <c r="G511" s="6" t="s">
        <v>681</v>
      </c>
      <c r="H511" s="2" t="s">
        <v>681</v>
      </c>
      <c r="I511" s="1">
        <v>7</v>
      </c>
      <c r="J511" s="1">
        <v>10</v>
      </c>
      <c r="L511" s="45">
        <f t="shared" si="37"/>
        <v>45546</v>
      </c>
      <c r="M511" s="46">
        <f t="shared" si="40"/>
        <v>45546</v>
      </c>
      <c r="Q511" s="43">
        <f t="shared" si="38"/>
        <v>0</v>
      </c>
      <c r="R511" s="43">
        <f t="shared" ca="1" si="39"/>
        <v>0</v>
      </c>
      <c r="S511" s="22"/>
      <c r="T511" s="25">
        <v>45539</v>
      </c>
    </row>
    <row r="512" spans="1:20" x14ac:dyDescent="0.3">
      <c r="A512" s="13">
        <v>509</v>
      </c>
      <c r="B512" s="1" t="s">
        <v>707</v>
      </c>
      <c r="C512" s="39">
        <f t="shared" ca="1" si="36"/>
        <v>0</v>
      </c>
      <c r="D512" t="s">
        <v>281</v>
      </c>
      <c r="E512" t="s">
        <v>347</v>
      </c>
      <c r="F512" s="7" t="s">
        <v>78</v>
      </c>
      <c r="G512" s="6" t="s">
        <v>681</v>
      </c>
      <c r="H512" s="2" t="s">
        <v>681</v>
      </c>
      <c r="I512" s="1">
        <v>7</v>
      </c>
      <c r="J512" s="1">
        <v>10</v>
      </c>
      <c r="L512" s="45">
        <f t="shared" si="37"/>
        <v>45547</v>
      </c>
      <c r="M512" s="46">
        <f t="shared" si="40"/>
        <v>45547</v>
      </c>
      <c r="Q512" s="43">
        <f t="shared" si="38"/>
        <v>0</v>
      </c>
      <c r="R512" s="43">
        <f t="shared" ca="1" si="39"/>
        <v>0</v>
      </c>
      <c r="S512" s="22"/>
      <c r="T512" s="25">
        <v>45540</v>
      </c>
    </row>
    <row r="513" spans="1:20" x14ac:dyDescent="0.3">
      <c r="A513" s="13">
        <v>510</v>
      </c>
      <c r="B513" s="1" t="s">
        <v>707</v>
      </c>
      <c r="C513" s="39">
        <f t="shared" ca="1" si="36"/>
        <v>0</v>
      </c>
      <c r="D513" t="s">
        <v>281</v>
      </c>
      <c r="E513" t="s">
        <v>348</v>
      </c>
      <c r="F513" s="7" t="s">
        <v>78</v>
      </c>
      <c r="G513" s="6" t="s">
        <v>681</v>
      </c>
      <c r="H513" s="2" t="s">
        <v>681</v>
      </c>
      <c r="I513" s="1">
        <v>7</v>
      </c>
      <c r="J513" s="1">
        <v>10</v>
      </c>
      <c r="L513" s="45">
        <f t="shared" si="37"/>
        <v>45548</v>
      </c>
      <c r="M513" s="46">
        <f t="shared" si="40"/>
        <v>45548</v>
      </c>
      <c r="Q513" s="43">
        <f t="shared" si="38"/>
        <v>0</v>
      </c>
      <c r="R513" s="43">
        <f t="shared" ca="1" si="39"/>
        <v>0</v>
      </c>
      <c r="S513" s="22"/>
      <c r="T513" s="25">
        <v>45541</v>
      </c>
    </row>
    <row r="514" spans="1:20" x14ac:dyDescent="0.3">
      <c r="A514" s="13">
        <v>511</v>
      </c>
      <c r="B514" s="1" t="s">
        <v>707</v>
      </c>
      <c r="C514" s="39">
        <f t="shared" ca="1" si="36"/>
        <v>0</v>
      </c>
      <c r="D514" t="s">
        <v>281</v>
      </c>
      <c r="E514" t="s">
        <v>349</v>
      </c>
      <c r="F514" s="7" t="s">
        <v>78</v>
      </c>
      <c r="G514" s="6" t="s">
        <v>681</v>
      </c>
      <c r="H514" s="2" t="s">
        <v>681</v>
      </c>
      <c r="I514" s="1">
        <v>30</v>
      </c>
      <c r="J514" s="1">
        <v>15</v>
      </c>
      <c r="L514" s="45">
        <f t="shared" si="37"/>
        <v>45572</v>
      </c>
      <c r="M514" s="46">
        <f t="shared" si="40"/>
        <v>45572</v>
      </c>
      <c r="Q514" s="43">
        <f t="shared" si="38"/>
        <v>0</v>
      </c>
      <c r="R514" s="43">
        <f t="shared" ca="1" si="39"/>
        <v>0</v>
      </c>
      <c r="S514" s="22"/>
      <c r="T514" s="25">
        <v>45542</v>
      </c>
    </row>
    <row r="515" spans="1:20" x14ac:dyDescent="0.3">
      <c r="A515" s="13">
        <v>512</v>
      </c>
      <c r="B515" s="1" t="s">
        <v>707</v>
      </c>
      <c r="C515" s="39">
        <f t="shared" ca="1" si="36"/>
        <v>0</v>
      </c>
      <c r="D515" t="s">
        <v>281</v>
      </c>
      <c r="E515" t="s">
        <v>10</v>
      </c>
      <c r="F515" s="7" t="s">
        <v>78</v>
      </c>
      <c r="G515" s="6" t="s">
        <v>681</v>
      </c>
      <c r="H515" s="2" t="s">
        <v>681</v>
      </c>
      <c r="I515" s="1">
        <v>30</v>
      </c>
      <c r="J515" s="1">
        <v>10</v>
      </c>
      <c r="L515" s="45">
        <f t="shared" si="37"/>
        <v>45573</v>
      </c>
      <c r="M515" s="46">
        <f t="shared" si="40"/>
        <v>45573</v>
      </c>
      <c r="Q515" s="43">
        <f t="shared" si="38"/>
        <v>0</v>
      </c>
      <c r="R515" s="43">
        <f t="shared" ca="1" si="39"/>
        <v>0</v>
      </c>
      <c r="S515" s="22"/>
      <c r="T515" s="25">
        <v>45543</v>
      </c>
    </row>
    <row r="516" spans="1:20" x14ac:dyDescent="0.3">
      <c r="A516" s="13">
        <v>513</v>
      </c>
      <c r="B516" s="1" t="s">
        <v>707</v>
      </c>
      <c r="C516" s="39">
        <f t="shared" ca="1" si="36"/>
        <v>0</v>
      </c>
      <c r="D516" t="s">
        <v>37</v>
      </c>
      <c r="E516" t="s">
        <v>379</v>
      </c>
      <c r="F516" s="7" t="s">
        <v>78</v>
      </c>
      <c r="G516" s="6" t="s">
        <v>681</v>
      </c>
      <c r="H516" s="2" t="s">
        <v>681</v>
      </c>
      <c r="I516" s="1">
        <v>30</v>
      </c>
      <c r="J516" s="1">
        <v>5</v>
      </c>
      <c r="L516" s="45">
        <f t="shared" si="37"/>
        <v>45574</v>
      </c>
      <c r="M516" s="46">
        <f t="shared" si="40"/>
        <v>45574</v>
      </c>
      <c r="Q516" s="43">
        <f t="shared" si="38"/>
        <v>0</v>
      </c>
      <c r="R516" s="43">
        <f t="shared" ca="1" si="39"/>
        <v>0</v>
      </c>
      <c r="S516" s="22"/>
      <c r="T516" s="25">
        <v>45544</v>
      </c>
    </row>
    <row r="517" spans="1:20" x14ac:dyDescent="0.3">
      <c r="A517" s="13">
        <v>514</v>
      </c>
      <c r="B517" s="1" t="s">
        <v>707</v>
      </c>
      <c r="C517" s="39">
        <f t="shared" ref="C517:C580" ca="1" si="41">IF(L517&lt;=$A$2,1,0)</f>
        <v>0</v>
      </c>
      <c r="D517" t="s">
        <v>37</v>
      </c>
      <c r="E517" t="s">
        <v>177</v>
      </c>
      <c r="F517" s="7" t="s">
        <v>78</v>
      </c>
      <c r="G517" s="6" t="s">
        <v>681</v>
      </c>
      <c r="H517" s="2" t="s">
        <v>681</v>
      </c>
      <c r="I517" s="1">
        <v>30</v>
      </c>
      <c r="J517" s="1">
        <v>5</v>
      </c>
      <c r="L517" s="45">
        <f t="shared" ref="L517:L580" si="42">IF(N517="",M517,N517)</f>
        <v>45575</v>
      </c>
      <c r="M517" s="46">
        <f t="shared" si="40"/>
        <v>45575</v>
      </c>
      <c r="Q517" s="43">
        <f t="shared" ref="Q517:Q580" si="43">IF(O517&lt;&gt;0,1,0)</f>
        <v>0</v>
      </c>
      <c r="R517" s="43">
        <f t="shared" ref="R517:R580" ca="1" si="44">IF(AND(L517&lt;($A$2+7), L517&gt;($A$2+6)),1,0)</f>
        <v>0</v>
      </c>
      <c r="S517" s="22"/>
      <c r="T517" s="25">
        <v>45545</v>
      </c>
    </row>
    <row r="518" spans="1:20" x14ac:dyDescent="0.3">
      <c r="A518" s="13">
        <v>515</v>
      </c>
      <c r="B518" s="1" t="s">
        <v>707</v>
      </c>
      <c r="C518" s="39">
        <f t="shared" ca="1" si="41"/>
        <v>1</v>
      </c>
      <c r="D518" t="s">
        <v>37</v>
      </c>
      <c r="E518" t="s">
        <v>170</v>
      </c>
      <c r="F518" s="7" t="s">
        <v>78</v>
      </c>
      <c r="G518" s="6" t="s">
        <v>681</v>
      </c>
      <c r="H518" s="2" t="s">
        <v>681</v>
      </c>
      <c r="I518" s="1">
        <v>30</v>
      </c>
      <c r="J518" s="1">
        <v>5</v>
      </c>
      <c r="L518" s="45">
        <f t="shared" si="42"/>
        <v>45084</v>
      </c>
      <c r="M518" s="46">
        <f t="shared" si="40"/>
        <v>45576</v>
      </c>
      <c r="N518" s="50">
        <v>45084</v>
      </c>
      <c r="Q518" s="43">
        <f t="shared" si="43"/>
        <v>0</v>
      </c>
      <c r="R518" s="43">
        <f t="shared" ca="1" si="44"/>
        <v>0</v>
      </c>
      <c r="S518" s="22"/>
      <c r="T518" s="25">
        <v>45546</v>
      </c>
    </row>
    <row r="519" spans="1:20" x14ac:dyDescent="0.3">
      <c r="A519" s="13">
        <v>516</v>
      </c>
      <c r="B519" s="1" t="s">
        <v>707</v>
      </c>
      <c r="C519" s="39">
        <f t="shared" ca="1" si="41"/>
        <v>0</v>
      </c>
      <c r="D519" t="s">
        <v>37</v>
      </c>
      <c r="E519" t="s">
        <v>187</v>
      </c>
      <c r="F519" s="7" t="s">
        <v>78</v>
      </c>
      <c r="G519" s="6" t="s">
        <v>681</v>
      </c>
      <c r="H519" s="2" t="s">
        <v>681</v>
      </c>
      <c r="I519" s="1">
        <v>30</v>
      </c>
      <c r="J519" s="1">
        <v>5</v>
      </c>
      <c r="L519" s="45">
        <f t="shared" si="42"/>
        <v>45577</v>
      </c>
      <c r="M519" s="46">
        <f t="shared" si="40"/>
        <v>45577</v>
      </c>
      <c r="Q519" s="43">
        <f t="shared" si="43"/>
        <v>0</v>
      </c>
      <c r="R519" s="43">
        <f t="shared" ca="1" si="44"/>
        <v>0</v>
      </c>
      <c r="S519" s="22"/>
      <c r="T519" s="25">
        <v>45547</v>
      </c>
    </row>
    <row r="520" spans="1:20" x14ac:dyDescent="0.3">
      <c r="A520" s="13">
        <v>517</v>
      </c>
      <c r="B520" s="1" t="s">
        <v>708</v>
      </c>
      <c r="C520" s="39">
        <f t="shared" ca="1" si="41"/>
        <v>0</v>
      </c>
      <c r="D520" t="s">
        <v>131</v>
      </c>
      <c r="E520" t="s">
        <v>10</v>
      </c>
      <c r="F520" s="7" t="s">
        <v>78</v>
      </c>
      <c r="G520" s="6" t="s">
        <v>681</v>
      </c>
      <c r="H520" s="2" t="s">
        <v>681</v>
      </c>
      <c r="I520" s="1">
        <v>30</v>
      </c>
      <c r="J520" s="1">
        <v>10</v>
      </c>
      <c r="L520" s="45">
        <f t="shared" si="42"/>
        <v>45578</v>
      </c>
      <c r="M520" s="46">
        <f t="shared" si="40"/>
        <v>45578</v>
      </c>
      <c r="Q520" s="43">
        <f t="shared" si="43"/>
        <v>0</v>
      </c>
      <c r="R520" s="43">
        <f t="shared" ca="1" si="44"/>
        <v>0</v>
      </c>
      <c r="S520" s="22"/>
      <c r="T520" s="25">
        <v>45548</v>
      </c>
    </row>
    <row r="521" spans="1:20" x14ac:dyDescent="0.3">
      <c r="A521" s="13">
        <v>518</v>
      </c>
      <c r="B521" s="1" t="s">
        <v>708</v>
      </c>
      <c r="C521" s="39">
        <f t="shared" ca="1" si="41"/>
        <v>0</v>
      </c>
      <c r="D521" t="s">
        <v>131</v>
      </c>
      <c r="E521" t="s">
        <v>37</v>
      </c>
      <c r="F521" s="7" t="s">
        <v>78</v>
      </c>
      <c r="G521" s="6" t="s">
        <v>681</v>
      </c>
      <c r="H521" s="2" t="s">
        <v>681</v>
      </c>
      <c r="I521" s="1">
        <v>30</v>
      </c>
      <c r="J521" s="1">
        <v>10</v>
      </c>
      <c r="L521" s="45">
        <f t="shared" si="42"/>
        <v>45579</v>
      </c>
      <c r="M521" s="46">
        <f t="shared" si="40"/>
        <v>45579</v>
      </c>
      <c r="Q521" s="43">
        <f t="shared" si="43"/>
        <v>0</v>
      </c>
      <c r="R521" s="43">
        <f t="shared" ca="1" si="44"/>
        <v>0</v>
      </c>
      <c r="S521" s="22"/>
      <c r="T521" s="25">
        <v>45549</v>
      </c>
    </row>
    <row r="522" spans="1:20" x14ac:dyDescent="0.3">
      <c r="A522" s="13">
        <v>519</v>
      </c>
      <c r="B522" s="1" t="s">
        <v>708</v>
      </c>
      <c r="C522" s="39">
        <f t="shared" ca="1" si="41"/>
        <v>0</v>
      </c>
      <c r="D522" t="s">
        <v>131</v>
      </c>
      <c r="E522" t="s">
        <v>373</v>
      </c>
      <c r="F522" s="7" t="s">
        <v>78</v>
      </c>
      <c r="G522" s="6" t="s">
        <v>681</v>
      </c>
      <c r="H522" s="2" t="s">
        <v>681</v>
      </c>
      <c r="I522" s="1">
        <v>30</v>
      </c>
      <c r="J522" s="1">
        <v>10</v>
      </c>
      <c r="L522" s="45">
        <f t="shared" si="42"/>
        <v>45580</v>
      </c>
      <c r="M522" s="46">
        <f t="shared" si="40"/>
        <v>45580</v>
      </c>
      <c r="Q522" s="43">
        <f t="shared" si="43"/>
        <v>0</v>
      </c>
      <c r="R522" s="43">
        <f t="shared" ca="1" si="44"/>
        <v>0</v>
      </c>
      <c r="S522" s="22"/>
      <c r="T522" s="25">
        <v>45550</v>
      </c>
    </row>
    <row r="523" spans="1:20" x14ac:dyDescent="0.3">
      <c r="A523" s="13">
        <v>520</v>
      </c>
      <c r="B523" s="1" t="s">
        <v>708</v>
      </c>
      <c r="C523" s="39">
        <f t="shared" ca="1" si="41"/>
        <v>0</v>
      </c>
      <c r="D523" t="s">
        <v>131</v>
      </c>
      <c r="E523" t="s">
        <v>375</v>
      </c>
      <c r="F523" s="7" t="s">
        <v>78</v>
      </c>
      <c r="G523" s="6" t="s">
        <v>681</v>
      </c>
      <c r="H523" s="2" t="s">
        <v>681</v>
      </c>
      <c r="I523" s="1">
        <v>7</v>
      </c>
      <c r="J523" s="1">
        <v>10</v>
      </c>
      <c r="L523" s="45">
        <f t="shared" si="42"/>
        <v>45558</v>
      </c>
      <c r="M523" s="46">
        <f t="shared" si="40"/>
        <v>45558</v>
      </c>
      <c r="Q523" s="43">
        <f t="shared" si="43"/>
        <v>0</v>
      </c>
      <c r="R523" s="43">
        <f t="shared" ca="1" si="44"/>
        <v>0</v>
      </c>
      <c r="S523" s="22"/>
      <c r="T523" s="25">
        <v>45551</v>
      </c>
    </row>
    <row r="524" spans="1:20" x14ac:dyDescent="0.3">
      <c r="A524" s="13">
        <v>521</v>
      </c>
      <c r="B524" s="1" t="s">
        <v>708</v>
      </c>
      <c r="C524" s="39">
        <f t="shared" ca="1" si="41"/>
        <v>0</v>
      </c>
      <c r="D524" t="s">
        <v>131</v>
      </c>
      <c r="E524" t="s">
        <v>380</v>
      </c>
      <c r="F524" s="7" t="s">
        <v>78</v>
      </c>
      <c r="G524" s="6" t="s">
        <v>681</v>
      </c>
      <c r="H524" s="2" t="s">
        <v>681</v>
      </c>
      <c r="I524" s="1">
        <v>7</v>
      </c>
      <c r="J524" s="1">
        <v>10</v>
      </c>
      <c r="L524" s="45">
        <f t="shared" si="42"/>
        <v>45559</v>
      </c>
      <c r="M524" s="46">
        <f t="shared" si="40"/>
        <v>45559</v>
      </c>
      <c r="Q524" s="43">
        <f t="shared" si="43"/>
        <v>0</v>
      </c>
      <c r="R524" s="43">
        <f t="shared" ca="1" si="44"/>
        <v>0</v>
      </c>
      <c r="S524" s="22"/>
      <c r="T524" s="25">
        <v>45552</v>
      </c>
    </row>
    <row r="525" spans="1:20" x14ac:dyDescent="0.3">
      <c r="A525" s="13">
        <v>522</v>
      </c>
      <c r="B525" s="1" t="s">
        <v>708</v>
      </c>
      <c r="C525" s="39">
        <f t="shared" ca="1" si="41"/>
        <v>0</v>
      </c>
      <c r="D525" t="s">
        <v>132</v>
      </c>
      <c r="E525" t="s">
        <v>10</v>
      </c>
      <c r="F525" s="7" t="s">
        <v>78</v>
      </c>
      <c r="G525" s="6" t="s">
        <v>681</v>
      </c>
      <c r="H525" s="2" t="s">
        <v>681</v>
      </c>
      <c r="I525" s="1">
        <v>30</v>
      </c>
      <c r="J525" s="1">
        <v>10</v>
      </c>
      <c r="L525" s="45">
        <f t="shared" si="42"/>
        <v>45583</v>
      </c>
      <c r="M525" s="46">
        <f t="shared" si="40"/>
        <v>45583</v>
      </c>
      <c r="Q525" s="43">
        <f t="shared" si="43"/>
        <v>0</v>
      </c>
      <c r="R525" s="43">
        <f t="shared" ca="1" si="44"/>
        <v>0</v>
      </c>
      <c r="S525" s="22"/>
      <c r="T525" s="25">
        <v>45553</v>
      </c>
    </row>
    <row r="526" spans="1:20" x14ac:dyDescent="0.3">
      <c r="A526" s="13">
        <v>523</v>
      </c>
      <c r="B526" s="1" t="s">
        <v>708</v>
      </c>
      <c r="C526" s="39">
        <f t="shared" ca="1" si="41"/>
        <v>0</v>
      </c>
      <c r="D526" t="s">
        <v>132</v>
      </c>
      <c r="E526" t="s">
        <v>37</v>
      </c>
      <c r="F526" s="7" t="s">
        <v>78</v>
      </c>
      <c r="G526" s="6" t="s">
        <v>681</v>
      </c>
      <c r="H526" s="2" t="s">
        <v>681</v>
      </c>
      <c r="I526" s="1">
        <v>30</v>
      </c>
      <c r="J526" s="1">
        <v>10</v>
      </c>
      <c r="L526" s="45">
        <f t="shared" si="42"/>
        <v>45584</v>
      </c>
      <c r="M526" s="46">
        <f t="shared" si="40"/>
        <v>45584</v>
      </c>
      <c r="Q526" s="43">
        <f t="shared" si="43"/>
        <v>0</v>
      </c>
      <c r="R526" s="43">
        <f t="shared" ca="1" si="44"/>
        <v>0</v>
      </c>
      <c r="S526" s="22"/>
      <c r="T526" s="25">
        <v>45554</v>
      </c>
    </row>
    <row r="527" spans="1:20" x14ac:dyDescent="0.3">
      <c r="A527" s="13">
        <v>524</v>
      </c>
      <c r="B527" s="1" t="s">
        <v>708</v>
      </c>
      <c r="C527" s="39">
        <f t="shared" ca="1" si="41"/>
        <v>0</v>
      </c>
      <c r="D527" t="s">
        <v>132</v>
      </c>
      <c r="E527" t="s">
        <v>373</v>
      </c>
      <c r="F527" s="7" t="s">
        <v>78</v>
      </c>
      <c r="G527" s="6" t="s">
        <v>681</v>
      </c>
      <c r="H527" s="2" t="s">
        <v>681</v>
      </c>
      <c r="I527" s="1">
        <v>30</v>
      </c>
      <c r="J527" s="1">
        <v>10</v>
      </c>
      <c r="L527" s="45">
        <f t="shared" si="42"/>
        <v>45585</v>
      </c>
      <c r="M527" s="46">
        <f t="shared" si="40"/>
        <v>45585</v>
      </c>
      <c r="Q527" s="43">
        <f t="shared" si="43"/>
        <v>0</v>
      </c>
      <c r="R527" s="43">
        <f t="shared" ca="1" si="44"/>
        <v>0</v>
      </c>
      <c r="S527" s="22"/>
      <c r="T527" s="25">
        <v>45555</v>
      </c>
    </row>
    <row r="528" spans="1:20" x14ac:dyDescent="0.3">
      <c r="A528" s="13">
        <v>525</v>
      </c>
      <c r="B528" s="1" t="s">
        <v>708</v>
      </c>
      <c r="C528" s="39">
        <f t="shared" ca="1" si="41"/>
        <v>0</v>
      </c>
      <c r="D528" t="s">
        <v>132</v>
      </c>
      <c r="E528" t="s">
        <v>375</v>
      </c>
      <c r="F528" s="7" t="s">
        <v>78</v>
      </c>
      <c r="G528" s="6" t="s">
        <v>681</v>
      </c>
      <c r="H528" s="2" t="s">
        <v>681</v>
      </c>
      <c r="I528" s="1">
        <v>7</v>
      </c>
      <c r="J528" s="1">
        <v>10</v>
      </c>
      <c r="L528" s="45">
        <f t="shared" si="42"/>
        <v>45563</v>
      </c>
      <c r="M528" s="46">
        <f t="shared" si="40"/>
        <v>45563</v>
      </c>
      <c r="Q528" s="43">
        <f t="shared" si="43"/>
        <v>0</v>
      </c>
      <c r="R528" s="43">
        <f t="shared" ca="1" si="44"/>
        <v>0</v>
      </c>
      <c r="S528" s="22"/>
      <c r="T528" s="25">
        <v>45556</v>
      </c>
    </row>
    <row r="529" spans="1:20" x14ac:dyDescent="0.3">
      <c r="A529" s="13">
        <v>526</v>
      </c>
      <c r="B529" s="1" t="s">
        <v>708</v>
      </c>
      <c r="C529" s="39">
        <f t="shared" ca="1" si="41"/>
        <v>0</v>
      </c>
      <c r="D529" t="s">
        <v>132</v>
      </c>
      <c r="E529" t="s">
        <v>380</v>
      </c>
      <c r="F529" s="7" t="s">
        <v>78</v>
      </c>
      <c r="G529" s="6" t="s">
        <v>681</v>
      </c>
      <c r="H529" s="2" t="s">
        <v>681</v>
      </c>
      <c r="I529" s="1">
        <v>7</v>
      </c>
      <c r="J529" s="1">
        <v>10</v>
      </c>
      <c r="L529" s="45">
        <f t="shared" si="42"/>
        <v>45564</v>
      </c>
      <c r="M529" s="46">
        <f t="shared" si="40"/>
        <v>45564</v>
      </c>
      <c r="Q529" s="43">
        <f t="shared" si="43"/>
        <v>0</v>
      </c>
      <c r="R529" s="43">
        <f t="shared" ca="1" si="44"/>
        <v>0</v>
      </c>
      <c r="S529" s="22"/>
      <c r="T529" s="25">
        <v>45557</v>
      </c>
    </row>
    <row r="530" spans="1:20" x14ac:dyDescent="0.3">
      <c r="A530" s="13">
        <v>527</v>
      </c>
      <c r="B530" s="1" t="s">
        <v>708</v>
      </c>
      <c r="C530" s="39">
        <f t="shared" ca="1" si="41"/>
        <v>0</v>
      </c>
      <c r="D530" t="s">
        <v>133</v>
      </c>
      <c r="E530" t="s">
        <v>10</v>
      </c>
      <c r="F530" s="7" t="s">
        <v>78</v>
      </c>
      <c r="G530" s="6" t="s">
        <v>681</v>
      </c>
      <c r="H530" s="2" t="s">
        <v>681</v>
      </c>
      <c r="I530" s="1">
        <v>30</v>
      </c>
      <c r="J530" s="1">
        <v>10</v>
      </c>
      <c r="L530" s="45">
        <f t="shared" si="42"/>
        <v>45588</v>
      </c>
      <c r="M530" s="46">
        <f t="shared" si="40"/>
        <v>45588</v>
      </c>
      <c r="Q530" s="43">
        <f t="shared" si="43"/>
        <v>0</v>
      </c>
      <c r="R530" s="43">
        <f t="shared" ca="1" si="44"/>
        <v>0</v>
      </c>
      <c r="S530" s="22"/>
      <c r="T530" s="25">
        <v>45558</v>
      </c>
    </row>
    <row r="531" spans="1:20" x14ac:dyDescent="0.3">
      <c r="A531" s="13">
        <v>528</v>
      </c>
      <c r="B531" s="1" t="s">
        <v>708</v>
      </c>
      <c r="C531" s="39">
        <f t="shared" ca="1" si="41"/>
        <v>0</v>
      </c>
      <c r="D531" t="s">
        <v>133</v>
      </c>
      <c r="E531" t="s">
        <v>177</v>
      </c>
      <c r="F531" s="7" t="s">
        <v>78</v>
      </c>
      <c r="G531" s="6" t="s">
        <v>681</v>
      </c>
      <c r="H531" s="2" t="s">
        <v>681</v>
      </c>
      <c r="I531" s="1">
        <v>30</v>
      </c>
      <c r="J531" s="1">
        <v>5</v>
      </c>
      <c r="L531" s="45">
        <f t="shared" si="42"/>
        <v>45589</v>
      </c>
      <c r="M531" s="46">
        <f t="shared" si="40"/>
        <v>45589</v>
      </c>
      <c r="Q531" s="43">
        <f t="shared" si="43"/>
        <v>0</v>
      </c>
      <c r="R531" s="43">
        <f t="shared" ca="1" si="44"/>
        <v>0</v>
      </c>
      <c r="S531" s="22"/>
      <c r="T531" s="25">
        <v>45559</v>
      </c>
    </row>
    <row r="532" spans="1:20" x14ac:dyDescent="0.3">
      <c r="A532" s="13">
        <v>529</v>
      </c>
      <c r="B532" s="1" t="s">
        <v>708</v>
      </c>
      <c r="C532" s="39">
        <f t="shared" ca="1" si="41"/>
        <v>0</v>
      </c>
      <c r="D532" t="s">
        <v>133</v>
      </c>
      <c r="E532" t="s">
        <v>186</v>
      </c>
      <c r="F532" s="7" t="s">
        <v>78</v>
      </c>
      <c r="G532" s="6" t="s">
        <v>681</v>
      </c>
      <c r="H532" s="2" t="s">
        <v>681</v>
      </c>
      <c r="I532" s="1">
        <v>30</v>
      </c>
      <c r="J532" s="1">
        <v>10</v>
      </c>
      <c r="L532" s="45">
        <f t="shared" si="42"/>
        <v>45590</v>
      </c>
      <c r="M532" s="46">
        <f t="shared" si="40"/>
        <v>45590</v>
      </c>
      <c r="Q532" s="43">
        <f t="shared" si="43"/>
        <v>0</v>
      </c>
      <c r="R532" s="43">
        <f t="shared" ca="1" si="44"/>
        <v>0</v>
      </c>
      <c r="S532" s="22"/>
      <c r="T532" s="25">
        <v>45560</v>
      </c>
    </row>
    <row r="533" spans="1:20" x14ac:dyDescent="0.3">
      <c r="A533" s="13">
        <v>530</v>
      </c>
      <c r="B533" s="1" t="s">
        <v>709</v>
      </c>
      <c r="C533" s="39">
        <f t="shared" ca="1" si="41"/>
        <v>0</v>
      </c>
      <c r="D533" t="s">
        <v>134</v>
      </c>
      <c r="E533" t="s">
        <v>143</v>
      </c>
      <c r="F533" s="7" t="s">
        <v>78</v>
      </c>
      <c r="G533" s="6" t="s">
        <v>681</v>
      </c>
      <c r="H533" s="2" t="s">
        <v>681</v>
      </c>
      <c r="I533" s="1">
        <v>30</v>
      </c>
      <c r="J533" s="1">
        <v>10</v>
      </c>
      <c r="L533" s="45">
        <f t="shared" si="42"/>
        <v>45591</v>
      </c>
      <c r="M533" s="46">
        <f t="shared" si="40"/>
        <v>45591</v>
      </c>
      <c r="Q533" s="43">
        <f t="shared" si="43"/>
        <v>0</v>
      </c>
      <c r="R533" s="43">
        <f t="shared" ca="1" si="44"/>
        <v>0</v>
      </c>
      <c r="S533" s="22"/>
      <c r="T533" s="25">
        <v>45561</v>
      </c>
    </row>
    <row r="534" spans="1:20" x14ac:dyDescent="0.3">
      <c r="A534" s="13">
        <v>531</v>
      </c>
      <c r="B534" s="1" t="s">
        <v>709</v>
      </c>
      <c r="C534" s="39">
        <f t="shared" ca="1" si="41"/>
        <v>0</v>
      </c>
      <c r="D534" t="s">
        <v>134</v>
      </c>
      <c r="E534" t="s">
        <v>333</v>
      </c>
      <c r="F534" s="7" t="s">
        <v>78</v>
      </c>
      <c r="G534" s="6" t="s">
        <v>681</v>
      </c>
      <c r="H534" s="2" t="s">
        <v>681</v>
      </c>
      <c r="I534" s="1">
        <v>30</v>
      </c>
      <c r="J534" s="1">
        <v>10</v>
      </c>
      <c r="L534" s="45">
        <f t="shared" si="42"/>
        <v>45592</v>
      </c>
      <c r="M534" s="46">
        <f t="shared" si="40"/>
        <v>45592</v>
      </c>
      <c r="Q534" s="43">
        <f t="shared" si="43"/>
        <v>0</v>
      </c>
      <c r="R534" s="43">
        <f t="shared" ca="1" si="44"/>
        <v>0</v>
      </c>
      <c r="S534" s="22"/>
      <c r="T534" s="25">
        <v>45562</v>
      </c>
    </row>
    <row r="535" spans="1:20" x14ac:dyDescent="0.3">
      <c r="A535" s="13">
        <v>532</v>
      </c>
      <c r="B535" s="1" t="s">
        <v>709</v>
      </c>
      <c r="C535" s="39">
        <f t="shared" ca="1" si="41"/>
        <v>0</v>
      </c>
      <c r="D535" t="s">
        <v>134</v>
      </c>
      <c r="E535" t="s">
        <v>371</v>
      </c>
      <c r="F535" s="7" t="s">
        <v>78</v>
      </c>
      <c r="G535" s="6" t="s">
        <v>681</v>
      </c>
      <c r="H535" s="2" t="s">
        <v>681</v>
      </c>
      <c r="I535" s="1">
        <v>30</v>
      </c>
      <c r="J535" s="1">
        <v>10</v>
      </c>
      <c r="L535" s="45">
        <f t="shared" si="42"/>
        <v>45593</v>
      </c>
      <c r="M535" s="46">
        <f t="shared" si="40"/>
        <v>45593</v>
      </c>
      <c r="Q535" s="43">
        <f t="shared" si="43"/>
        <v>0</v>
      </c>
      <c r="R535" s="43">
        <f t="shared" ca="1" si="44"/>
        <v>0</v>
      </c>
      <c r="S535" s="22"/>
      <c r="T535" s="25">
        <v>45563</v>
      </c>
    </row>
    <row r="536" spans="1:20" x14ac:dyDescent="0.3">
      <c r="A536" s="13">
        <v>533</v>
      </c>
      <c r="B536" s="1" t="s">
        <v>709</v>
      </c>
      <c r="C536" s="39">
        <f t="shared" ca="1" si="41"/>
        <v>0</v>
      </c>
      <c r="D536" t="s">
        <v>134</v>
      </c>
      <c r="E536" t="s">
        <v>144</v>
      </c>
      <c r="F536" s="7" t="s">
        <v>78</v>
      </c>
      <c r="G536" s="6" t="s">
        <v>681</v>
      </c>
      <c r="H536" s="2" t="s">
        <v>681</v>
      </c>
      <c r="I536" s="1">
        <v>30</v>
      </c>
      <c r="J536" s="1">
        <v>10</v>
      </c>
      <c r="L536" s="45">
        <f t="shared" si="42"/>
        <v>45594</v>
      </c>
      <c r="M536" s="46">
        <f t="shared" si="40"/>
        <v>45594</v>
      </c>
      <c r="Q536" s="43">
        <f t="shared" si="43"/>
        <v>0</v>
      </c>
      <c r="R536" s="43">
        <f t="shared" ca="1" si="44"/>
        <v>0</v>
      </c>
      <c r="S536" s="22"/>
      <c r="T536" s="25">
        <v>45564</v>
      </c>
    </row>
    <row r="537" spans="1:20" x14ac:dyDescent="0.3">
      <c r="A537" s="13">
        <v>534</v>
      </c>
      <c r="B537" s="1" t="s">
        <v>709</v>
      </c>
      <c r="C537" s="39">
        <f t="shared" ca="1" si="41"/>
        <v>0</v>
      </c>
      <c r="D537" t="s">
        <v>134</v>
      </c>
      <c r="E537" t="s">
        <v>145</v>
      </c>
      <c r="F537" s="7" t="s">
        <v>78</v>
      </c>
      <c r="G537" s="6" t="s">
        <v>681</v>
      </c>
      <c r="H537" s="2" t="s">
        <v>681</v>
      </c>
      <c r="I537" s="1">
        <v>30</v>
      </c>
      <c r="J537" s="1">
        <v>10</v>
      </c>
      <c r="L537" s="45">
        <f t="shared" si="42"/>
        <v>45595</v>
      </c>
      <c r="M537" s="46">
        <f t="shared" si="40"/>
        <v>45595</v>
      </c>
      <c r="Q537" s="43">
        <f t="shared" si="43"/>
        <v>0</v>
      </c>
      <c r="R537" s="43">
        <f t="shared" ca="1" si="44"/>
        <v>0</v>
      </c>
      <c r="S537" s="22"/>
      <c r="T537" s="25">
        <v>45565</v>
      </c>
    </row>
    <row r="538" spans="1:20" x14ac:dyDescent="0.3">
      <c r="A538" s="13">
        <v>535</v>
      </c>
      <c r="B538" s="1" t="s">
        <v>709</v>
      </c>
      <c r="C538" s="39">
        <f t="shared" ca="1" si="41"/>
        <v>0</v>
      </c>
      <c r="D538" t="s">
        <v>135</v>
      </c>
      <c r="E538" t="s">
        <v>10</v>
      </c>
      <c r="F538" s="7" t="s">
        <v>78</v>
      </c>
      <c r="G538" s="6" t="s">
        <v>681</v>
      </c>
      <c r="H538" s="2" t="s">
        <v>681</v>
      </c>
      <c r="I538" s="1">
        <v>30</v>
      </c>
      <c r="J538" s="1">
        <v>10</v>
      </c>
      <c r="L538" s="45">
        <f t="shared" si="42"/>
        <v>45596</v>
      </c>
      <c r="M538" s="46">
        <f t="shared" si="40"/>
        <v>45596</v>
      </c>
      <c r="Q538" s="43">
        <f t="shared" si="43"/>
        <v>0</v>
      </c>
      <c r="R538" s="43">
        <f t="shared" ca="1" si="44"/>
        <v>0</v>
      </c>
      <c r="S538" s="22"/>
      <c r="T538" s="25">
        <v>45566</v>
      </c>
    </row>
    <row r="539" spans="1:20" x14ac:dyDescent="0.3">
      <c r="A539" s="13">
        <v>536</v>
      </c>
      <c r="B539" s="1" t="s">
        <v>709</v>
      </c>
      <c r="C539" s="39">
        <f t="shared" ca="1" si="41"/>
        <v>0</v>
      </c>
      <c r="D539" t="s">
        <v>135</v>
      </c>
      <c r="E539" t="s">
        <v>11</v>
      </c>
      <c r="F539" s="7" t="s">
        <v>78</v>
      </c>
      <c r="G539" s="6" t="s">
        <v>681</v>
      </c>
      <c r="H539" s="2" t="s">
        <v>681</v>
      </c>
      <c r="I539" s="1">
        <v>30</v>
      </c>
      <c r="J539" s="1">
        <v>10</v>
      </c>
      <c r="L539" s="45">
        <f t="shared" si="42"/>
        <v>45597</v>
      </c>
      <c r="M539" s="46">
        <f t="shared" si="40"/>
        <v>45597</v>
      </c>
      <c r="Q539" s="43">
        <f t="shared" si="43"/>
        <v>0</v>
      </c>
      <c r="R539" s="43">
        <f t="shared" ca="1" si="44"/>
        <v>0</v>
      </c>
      <c r="S539" s="22"/>
      <c r="T539" s="25">
        <v>45567</v>
      </c>
    </row>
    <row r="540" spans="1:20" x14ac:dyDescent="0.3">
      <c r="A540" s="13">
        <v>537</v>
      </c>
      <c r="B540" s="1" t="s">
        <v>709</v>
      </c>
      <c r="C540" s="39">
        <f t="shared" ca="1" si="41"/>
        <v>0</v>
      </c>
      <c r="D540" t="s">
        <v>135</v>
      </c>
      <c r="E540" t="s">
        <v>12</v>
      </c>
      <c r="F540" s="7" t="s">
        <v>78</v>
      </c>
      <c r="G540" s="6" t="s">
        <v>681</v>
      </c>
      <c r="H540" s="2" t="s">
        <v>681</v>
      </c>
      <c r="I540" s="1">
        <v>30</v>
      </c>
      <c r="J540" s="1">
        <v>10</v>
      </c>
      <c r="L540" s="45">
        <f t="shared" si="42"/>
        <v>45598</v>
      </c>
      <c r="M540" s="46">
        <f t="shared" si="40"/>
        <v>45598</v>
      </c>
      <c r="Q540" s="43">
        <f t="shared" si="43"/>
        <v>0</v>
      </c>
      <c r="R540" s="43">
        <f t="shared" ca="1" si="44"/>
        <v>0</v>
      </c>
      <c r="S540" s="22"/>
      <c r="T540" s="25">
        <v>45568</v>
      </c>
    </row>
    <row r="541" spans="1:20" x14ac:dyDescent="0.3">
      <c r="A541" s="13">
        <v>538</v>
      </c>
      <c r="B541" s="1" t="s">
        <v>709</v>
      </c>
      <c r="C541" s="39">
        <f t="shared" ca="1" si="41"/>
        <v>0</v>
      </c>
      <c r="D541" t="s">
        <v>135</v>
      </c>
      <c r="E541" t="s">
        <v>170</v>
      </c>
      <c r="F541" s="7" t="s">
        <v>78</v>
      </c>
      <c r="G541" s="6" t="s">
        <v>681</v>
      </c>
      <c r="H541" s="2" t="s">
        <v>681</v>
      </c>
      <c r="I541" s="1">
        <v>30</v>
      </c>
      <c r="J541" s="1">
        <v>10</v>
      </c>
      <c r="L541" s="45">
        <f t="shared" si="42"/>
        <v>45599</v>
      </c>
      <c r="M541" s="46">
        <f t="shared" si="40"/>
        <v>45599</v>
      </c>
      <c r="Q541" s="43">
        <f t="shared" si="43"/>
        <v>0</v>
      </c>
      <c r="R541" s="43">
        <f t="shared" ca="1" si="44"/>
        <v>0</v>
      </c>
      <c r="S541" s="22"/>
      <c r="T541" s="25">
        <v>45569</v>
      </c>
    </row>
    <row r="542" spans="1:20" x14ac:dyDescent="0.3">
      <c r="A542" s="13">
        <v>539</v>
      </c>
      <c r="B542" s="1" t="s">
        <v>709</v>
      </c>
      <c r="C542" s="39">
        <f t="shared" ca="1" si="41"/>
        <v>0</v>
      </c>
      <c r="D542" t="s">
        <v>135</v>
      </c>
      <c r="E542" t="s">
        <v>357</v>
      </c>
      <c r="F542" s="7" t="s">
        <v>78</v>
      </c>
      <c r="G542" s="6" t="s">
        <v>681</v>
      </c>
      <c r="H542" s="2" t="s">
        <v>681</v>
      </c>
      <c r="I542" s="1">
        <v>30</v>
      </c>
      <c r="J542" s="1">
        <v>10</v>
      </c>
      <c r="L542" s="45">
        <f t="shared" si="42"/>
        <v>45600</v>
      </c>
      <c r="M542" s="46">
        <f t="shared" si="40"/>
        <v>45600</v>
      </c>
      <c r="Q542" s="43">
        <f t="shared" si="43"/>
        <v>0</v>
      </c>
      <c r="R542" s="43">
        <f t="shared" ca="1" si="44"/>
        <v>0</v>
      </c>
      <c r="S542" s="22"/>
      <c r="T542" s="25">
        <v>45570</v>
      </c>
    </row>
    <row r="543" spans="1:20" x14ac:dyDescent="0.3">
      <c r="A543" s="13">
        <v>540</v>
      </c>
      <c r="B543" s="1" t="s">
        <v>709</v>
      </c>
      <c r="C543" s="39">
        <f t="shared" ca="1" si="41"/>
        <v>0</v>
      </c>
      <c r="D543" t="s">
        <v>135</v>
      </c>
      <c r="E543" t="s">
        <v>180</v>
      </c>
      <c r="F543" s="7" t="s">
        <v>78</v>
      </c>
      <c r="G543" s="6" t="s">
        <v>681</v>
      </c>
      <c r="H543" s="2" t="s">
        <v>681</v>
      </c>
      <c r="I543" s="1">
        <v>30</v>
      </c>
      <c r="J543" s="1">
        <v>10</v>
      </c>
      <c r="L543" s="45">
        <f t="shared" si="42"/>
        <v>45601</v>
      </c>
      <c r="M543" s="46">
        <f t="shared" si="40"/>
        <v>45601</v>
      </c>
      <c r="Q543" s="43">
        <f t="shared" si="43"/>
        <v>0</v>
      </c>
      <c r="R543" s="43">
        <f t="shared" ca="1" si="44"/>
        <v>0</v>
      </c>
      <c r="S543" s="22"/>
      <c r="T543" s="25">
        <v>45571</v>
      </c>
    </row>
    <row r="544" spans="1:20" x14ac:dyDescent="0.3">
      <c r="A544" s="13">
        <v>541</v>
      </c>
      <c r="B544" s="1" t="s">
        <v>709</v>
      </c>
      <c r="C544" s="39">
        <f t="shared" ca="1" si="41"/>
        <v>0</v>
      </c>
      <c r="D544" t="s">
        <v>282</v>
      </c>
      <c r="E544" t="s">
        <v>26</v>
      </c>
      <c r="F544" s="7" t="s">
        <v>78</v>
      </c>
      <c r="G544" s="6" t="s">
        <v>681</v>
      </c>
      <c r="H544" s="2" t="s">
        <v>681</v>
      </c>
      <c r="I544" s="1">
        <v>30</v>
      </c>
      <c r="J544" s="1">
        <v>5</v>
      </c>
      <c r="L544" s="45">
        <f t="shared" si="42"/>
        <v>45602</v>
      </c>
      <c r="M544" s="46">
        <f t="shared" si="40"/>
        <v>45602</v>
      </c>
      <c r="Q544" s="43">
        <f t="shared" si="43"/>
        <v>0</v>
      </c>
      <c r="R544" s="43">
        <f t="shared" ca="1" si="44"/>
        <v>0</v>
      </c>
      <c r="S544" s="22"/>
      <c r="T544" s="25">
        <v>45572</v>
      </c>
    </row>
    <row r="545" spans="1:20" x14ac:dyDescent="0.3">
      <c r="A545" s="13">
        <v>542</v>
      </c>
      <c r="B545" s="1" t="s">
        <v>709</v>
      </c>
      <c r="C545" s="39">
        <f t="shared" ca="1" si="41"/>
        <v>0</v>
      </c>
      <c r="D545" t="s">
        <v>282</v>
      </c>
      <c r="E545" t="s">
        <v>25</v>
      </c>
      <c r="F545" s="7" t="s">
        <v>78</v>
      </c>
      <c r="G545" s="6" t="s">
        <v>681</v>
      </c>
      <c r="H545" s="2" t="s">
        <v>681</v>
      </c>
      <c r="I545" s="1">
        <v>30</v>
      </c>
      <c r="J545" s="1">
        <v>5</v>
      </c>
      <c r="L545" s="45">
        <f t="shared" si="42"/>
        <v>45603</v>
      </c>
      <c r="M545" s="46">
        <f t="shared" ref="M545:M608" si="45">T545+I545</f>
        <v>45603</v>
      </c>
      <c r="Q545" s="43">
        <f t="shared" si="43"/>
        <v>0</v>
      </c>
      <c r="R545" s="43">
        <f t="shared" ca="1" si="44"/>
        <v>0</v>
      </c>
      <c r="S545" s="22"/>
      <c r="T545" s="25">
        <v>45573</v>
      </c>
    </row>
    <row r="546" spans="1:20" x14ac:dyDescent="0.3">
      <c r="A546" s="13">
        <v>543</v>
      </c>
      <c r="B546" s="1" t="s">
        <v>709</v>
      </c>
      <c r="C546" s="39">
        <f t="shared" ca="1" si="41"/>
        <v>0</v>
      </c>
      <c r="D546" t="s">
        <v>37</v>
      </c>
      <c r="E546" t="s">
        <v>381</v>
      </c>
      <c r="F546" s="7" t="s">
        <v>78</v>
      </c>
      <c r="G546" s="6" t="s">
        <v>681</v>
      </c>
      <c r="H546" s="2" t="s">
        <v>681</v>
      </c>
      <c r="I546" s="1">
        <v>30</v>
      </c>
      <c r="J546" s="1">
        <v>5</v>
      </c>
      <c r="L546" s="45">
        <f t="shared" si="42"/>
        <v>45604</v>
      </c>
      <c r="M546" s="46">
        <f t="shared" si="45"/>
        <v>45604</v>
      </c>
      <c r="Q546" s="43">
        <f t="shared" si="43"/>
        <v>0</v>
      </c>
      <c r="R546" s="43">
        <f t="shared" ca="1" si="44"/>
        <v>0</v>
      </c>
      <c r="S546" s="22"/>
      <c r="T546" s="25">
        <v>45574</v>
      </c>
    </row>
    <row r="547" spans="1:20" x14ac:dyDescent="0.3">
      <c r="A547" s="13">
        <v>544</v>
      </c>
      <c r="B547" s="1" t="s">
        <v>709</v>
      </c>
      <c r="C547" s="39">
        <f t="shared" ca="1" si="41"/>
        <v>0</v>
      </c>
      <c r="D547" t="s">
        <v>37</v>
      </c>
      <c r="E547" t="s">
        <v>382</v>
      </c>
      <c r="F547" s="7" t="s">
        <v>78</v>
      </c>
      <c r="G547" s="6" t="s">
        <v>681</v>
      </c>
      <c r="H547" s="2" t="s">
        <v>681</v>
      </c>
      <c r="I547" s="1">
        <v>30</v>
      </c>
      <c r="J547" s="1">
        <v>5</v>
      </c>
      <c r="L547" s="45">
        <f t="shared" si="42"/>
        <v>45605</v>
      </c>
      <c r="M547" s="46">
        <f t="shared" si="45"/>
        <v>45605</v>
      </c>
      <c r="Q547" s="43">
        <f t="shared" si="43"/>
        <v>0</v>
      </c>
      <c r="R547" s="43">
        <f t="shared" ca="1" si="44"/>
        <v>0</v>
      </c>
      <c r="S547" s="22"/>
      <c r="T547" s="25">
        <v>45575</v>
      </c>
    </row>
    <row r="548" spans="1:20" x14ac:dyDescent="0.3">
      <c r="A548" s="13">
        <v>545</v>
      </c>
      <c r="B548" s="1" t="s">
        <v>709</v>
      </c>
      <c r="C548" s="39">
        <f t="shared" ca="1" si="41"/>
        <v>0</v>
      </c>
      <c r="D548" t="s">
        <v>37</v>
      </c>
      <c r="E548" t="s">
        <v>148</v>
      </c>
      <c r="F548" s="7" t="s">
        <v>78</v>
      </c>
      <c r="G548" s="6" t="s">
        <v>681</v>
      </c>
      <c r="H548" s="2" t="s">
        <v>681</v>
      </c>
      <c r="I548" s="1">
        <v>30</v>
      </c>
      <c r="J548" s="1">
        <v>5</v>
      </c>
      <c r="L548" s="45">
        <f t="shared" si="42"/>
        <v>45606</v>
      </c>
      <c r="M548" s="46">
        <f t="shared" si="45"/>
        <v>45606</v>
      </c>
      <c r="Q548" s="43">
        <f t="shared" si="43"/>
        <v>0</v>
      </c>
      <c r="R548" s="43">
        <f t="shared" ca="1" si="44"/>
        <v>0</v>
      </c>
      <c r="S548" s="22"/>
      <c r="T548" s="25">
        <v>45576</v>
      </c>
    </row>
    <row r="549" spans="1:20" x14ac:dyDescent="0.3">
      <c r="A549" s="13">
        <v>546</v>
      </c>
      <c r="B549" s="1" t="s">
        <v>709</v>
      </c>
      <c r="C549" s="39">
        <f t="shared" ca="1" si="41"/>
        <v>0</v>
      </c>
      <c r="D549" t="s">
        <v>37</v>
      </c>
      <c r="E549" t="s">
        <v>357</v>
      </c>
      <c r="F549" s="7" t="s">
        <v>78</v>
      </c>
      <c r="G549" s="6" t="s">
        <v>681</v>
      </c>
      <c r="H549" s="2" t="s">
        <v>681</v>
      </c>
      <c r="I549" s="1">
        <v>30</v>
      </c>
      <c r="J549" s="1">
        <v>5</v>
      </c>
      <c r="L549" s="45">
        <f t="shared" si="42"/>
        <v>45607</v>
      </c>
      <c r="M549" s="46">
        <f t="shared" si="45"/>
        <v>45607</v>
      </c>
      <c r="Q549" s="43">
        <f t="shared" si="43"/>
        <v>0</v>
      </c>
      <c r="R549" s="43">
        <f t="shared" ca="1" si="44"/>
        <v>0</v>
      </c>
      <c r="S549" s="22"/>
      <c r="T549" s="25">
        <v>45577</v>
      </c>
    </row>
    <row r="550" spans="1:20" x14ac:dyDescent="0.3">
      <c r="A550" s="13">
        <v>547</v>
      </c>
      <c r="B550" s="1" t="s">
        <v>709</v>
      </c>
      <c r="C550" s="39">
        <f t="shared" ca="1" si="41"/>
        <v>0</v>
      </c>
      <c r="D550" t="s">
        <v>283</v>
      </c>
      <c r="E550" t="s">
        <v>383</v>
      </c>
      <c r="F550" s="7" t="s">
        <v>78</v>
      </c>
      <c r="G550" s="6" t="s">
        <v>681</v>
      </c>
      <c r="H550" s="2" t="s">
        <v>681</v>
      </c>
      <c r="I550" s="1">
        <v>30</v>
      </c>
      <c r="J550" s="1">
        <v>10</v>
      </c>
      <c r="L550" s="45">
        <f t="shared" si="42"/>
        <v>45608</v>
      </c>
      <c r="M550" s="46">
        <f t="shared" si="45"/>
        <v>45608</v>
      </c>
      <c r="Q550" s="43">
        <f t="shared" si="43"/>
        <v>0</v>
      </c>
      <c r="R550" s="43">
        <f t="shared" ca="1" si="44"/>
        <v>0</v>
      </c>
      <c r="S550" s="22"/>
      <c r="T550" s="25">
        <v>45578</v>
      </c>
    </row>
    <row r="551" spans="1:20" x14ac:dyDescent="0.3">
      <c r="A551" s="13">
        <v>548</v>
      </c>
      <c r="B551" s="1" t="s">
        <v>709</v>
      </c>
      <c r="C551" s="39">
        <f t="shared" ca="1" si="41"/>
        <v>0</v>
      </c>
      <c r="D551" t="s">
        <v>283</v>
      </c>
      <c r="E551" t="s">
        <v>384</v>
      </c>
      <c r="F551" s="7" t="s">
        <v>78</v>
      </c>
      <c r="G551" s="6" t="s">
        <v>681</v>
      </c>
      <c r="H551" s="2" t="s">
        <v>681</v>
      </c>
      <c r="I551" s="1">
        <v>30</v>
      </c>
      <c r="J551" s="1">
        <v>5</v>
      </c>
      <c r="L551" s="45">
        <f t="shared" si="42"/>
        <v>45609</v>
      </c>
      <c r="M551" s="46">
        <f t="shared" si="45"/>
        <v>45609</v>
      </c>
      <c r="Q551" s="43">
        <f t="shared" si="43"/>
        <v>0</v>
      </c>
      <c r="R551" s="43">
        <f t="shared" ca="1" si="44"/>
        <v>0</v>
      </c>
      <c r="S551" s="22"/>
      <c r="T551" s="25">
        <v>45579</v>
      </c>
    </row>
    <row r="552" spans="1:20" x14ac:dyDescent="0.3">
      <c r="A552" s="13">
        <v>549</v>
      </c>
      <c r="B552" s="1" t="s">
        <v>709</v>
      </c>
      <c r="C552" s="39">
        <f t="shared" ca="1" si="41"/>
        <v>0</v>
      </c>
      <c r="D552" t="s">
        <v>283</v>
      </c>
      <c r="E552" t="s">
        <v>385</v>
      </c>
      <c r="F552" s="7" t="s">
        <v>78</v>
      </c>
      <c r="G552" s="6" t="s">
        <v>681</v>
      </c>
      <c r="H552" s="2" t="s">
        <v>681</v>
      </c>
      <c r="I552" s="1">
        <v>7</v>
      </c>
      <c r="J552" s="1">
        <v>5</v>
      </c>
      <c r="L552" s="45">
        <f t="shared" si="42"/>
        <v>45587</v>
      </c>
      <c r="M552" s="46">
        <f t="shared" si="45"/>
        <v>45587</v>
      </c>
      <c r="Q552" s="43">
        <f t="shared" si="43"/>
        <v>0</v>
      </c>
      <c r="R552" s="43">
        <f t="shared" ca="1" si="44"/>
        <v>0</v>
      </c>
      <c r="S552" s="22"/>
      <c r="T552" s="25">
        <v>45580</v>
      </c>
    </row>
    <row r="553" spans="1:20" x14ac:dyDescent="0.3">
      <c r="A553" s="13">
        <v>550</v>
      </c>
      <c r="B553" s="1" t="s">
        <v>709</v>
      </c>
      <c r="C553" s="39">
        <f t="shared" ca="1" si="41"/>
        <v>1</v>
      </c>
      <c r="D553" t="s">
        <v>283</v>
      </c>
      <c r="E553" t="s">
        <v>386</v>
      </c>
      <c r="F553" s="7" t="s">
        <v>78</v>
      </c>
      <c r="G553" s="6" t="s">
        <v>681</v>
      </c>
      <c r="H553" s="2" t="s">
        <v>681</v>
      </c>
      <c r="I553" s="1">
        <v>14</v>
      </c>
      <c r="J553" s="1">
        <v>10</v>
      </c>
      <c r="L553" s="45">
        <f t="shared" si="42"/>
        <v>45084</v>
      </c>
      <c r="M553" s="46">
        <f t="shared" si="45"/>
        <v>45595</v>
      </c>
      <c r="N553" s="50">
        <v>45084</v>
      </c>
      <c r="Q553" s="43">
        <f t="shared" si="43"/>
        <v>0</v>
      </c>
      <c r="R553" s="43">
        <f t="shared" ca="1" si="44"/>
        <v>0</v>
      </c>
      <c r="S553" s="22">
        <v>1</v>
      </c>
      <c r="T553" s="25">
        <v>45581</v>
      </c>
    </row>
    <row r="554" spans="1:20" x14ac:dyDescent="0.3">
      <c r="A554" s="13">
        <v>551</v>
      </c>
      <c r="B554" s="1" t="s">
        <v>709</v>
      </c>
      <c r="C554" s="39">
        <f t="shared" ca="1" si="41"/>
        <v>0</v>
      </c>
      <c r="D554" t="s">
        <v>283</v>
      </c>
      <c r="E554" t="s">
        <v>387</v>
      </c>
      <c r="F554" s="7" t="s">
        <v>78</v>
      </c>
      <c r="G554" s="6" t="s">
        <v>681</v>
      </c>
      <c r="H554" s="2" t="s">
        <v>681</v>
      </c>
      <c r="I554" s="1">
        <v>14</v>
      </c>
      <c r="J554" s="1">
        <v>10</v>
      </c>
      <c r="L554" s="45">
        <f t="shared" si="42"/>
        <v>45596</v>
      </c>
      <c r="M554" s="46">
        <f t="shared" si="45"/>
        <v>45596</v>
      </c>
      <c r="Q554" s="43">
        <f t="shared" si="43"/>
        <v>0</v>
      </c>
      <c r="R554" s="43">
        <f t="shared" ca="1" si="44"/>
        <v>0</v>
      </c>
      <c r="S554" s="22"/>
      <c r="T554" s="25">
        <v>45582</v>
      </c>
    </row>
    <row r="555" spans="1:20" x14ac:dyDescent="0.3">
      <c r="A555" s="13">
        <v>552</v>
      </c>
      <c r="B555" s="1" t="s">
        <v>686</v>
      </c>
      <c r="C555" s="39">
        <f t="shared" ca="1" si="41"/>
        <v>0</v>
      </c>
      <c r="D555" t="s">
        <v>284</v>
      </c>
      <c r="E555" t="s">
        <v>388</v>
      </c>
      <c r="F555" s="7" t="s">
        <v>78</v>
      </c>
      <c r="G555" s="6" t="s">
        <v>681</v>
      </c>
      <c r="H555" s="2" t="s">
        <v>681</v>
      </c>
      <c r="I555" s="1">
        <v>30</v>
      </c>
      <c r="J555" s="1">
        <v>10</v>
      </c>
      <c r="L555" s="45">
        <f t="shared" si="42"/>
        <v>45613</v>
      </c>
      <c r="M555" s="46">
        <f t="shared" si="45"/>
        <v>45613</v>
      </c>
      <c r="Q555" s="43">
        <f t="shared" si="43"/>
        <v>0</v>
      </c>
      <c r="R555" s="43">
        <f t="shared" ca="1" si="44"/>
        <v>0</v>
      </c>
      <c r="S555" s="22"/>
      <c r="T555" s="25">
        <v>45583</v>
      </c>
    </row>
    <row r="556" spans="1:20" x14ac:dyDescent="0.3">
      <c r="A556" s="13">
        <v>553</v>
      </c>
      <c r="B556" s="1" t="s">
        <v>686</v>
      </c>
      <c r="C556" s="39">
        <f t="shared" ca="1" si="41"/>
        <v>0</v>
      </c>
      <c r="D556" t="s">
        <v>284</v>
      </c>
      <c r="E556" t="s">
        <v>187</v>
      </c>
      <c r="F556" s="7" t="s">
        <v>78</v>
      </c>
      <c r="G556" s="6" t="s">
        <v>681</v>
      </c>
      <c r="H556" s="2" t="s">
        <v>681</v>
      </c>
      <c r="I556" s="1">
        <v>30</v>
      </c>
      <c r="J556" s="1">
        <v>10</v>
      </c>
      <c r="L556" s="45">
        <f t="shared" si="42"/>
        <v>45614</v>
      </c>
      <c r="M556" s="46">
        <f t="shared" si="45"/>
        <v>45614</v>
      </c>
      <c r="Q556" s="43">
        <f t="shared" si="43"/>
        <v>0</v>
      </c>
      <c r="R556" s="43">
        <f t="shared" ca="1" si="44"/>
        <v>0</v>
      </c>
      <c r="S556" s="22"/>
      <c r="T556" s="25">
        <v>45584</v>
      </c>
    </row>
    <row r="557" spans="1:20" x14ac:dyDescent="0.3">
      <c r="A557" s="13">
        <v>554</v>
      </c>
      <c r="B557" s="1" t="s">
        <v>686</v>
      </c>
      <c r="C557" s="39">
        <f t="shared" ca="1" si="41"/>
        <v>0</v>
      </c>
      <c r="D557" t="s">
        <v>284</v>
      </c>
      <c r="E557" t="s">
        <v>365</v>
      </c>
      <c r="F557" s="7" t="s">
        <v>78</v>
      </c>
      <c r="G557" s="6" t="s">
        <v>681</v>
      </c>
      <c r="H557" s="2" t="s">
        <v>681</v>
      </c>
      <c r="I557" s="1">
        <v>30</v>
      </c>
      <c r="J557" s="1">
        <v>10</v>
      </c>
      <c r="L557" s="45">
        <f t="shared" si="42"/>
        <v>45615</v>
      </c>
      <c r="M557" s="46">
        <f t="shared" si="45"/>
        <v>45615</v>
      </c>
      <c r="Q557" s="43">
        <f t="shared" si="43"/>
        <v>0</v>
      </c>
      <c r="R557" s="43">
        <f t="shared" ca="1" si="44"/>
        <v>0</v>
      </c>
      <c r="S557" s="22"/>
      <c r="T557" s="25">
        <v>45585</v>
      </c>
    </row>
    <row r="558" spans="1:20" x14ac:dyDescent="0.3">
      <c r="A558" s="13">
        <v>555</v>
      </c>
      <c r="B558" s="1" t="s">
        <v>686</v>
      </c>
      <c r="C558" s="39">
        <f t="shared" ca="1" si="41"/>
        <v>0</v>
      </c>
      <c r="D558" t="s">
        <v>284</v>
      </c>
      <c r="E558" t="s">
        <v>389</v>
      </c>
      <c r="F558" s="7" t="s">
        <v>78</v>
      </c>
      <c r="G558" s="6" t="s">
        <v>681</v>
      </c>
      <c r="H558" s="2" t="s">
        <v>681</v>
      </c>
      <c r="I558" s="1">
        <v>30</v>
      </c>
      <c r="J558" s="1">
        <v>10</v>
      </c>
      <c r="L558" s="45">
        <f t="shared" si="42"/>
        <v>45616</v>
      </c>
      <c r="M558" s="46">
        <f t="shared" si="45"/>
        <v>45616</v>
      </c>
      <c r="Q558" s="43">
        <f t="shared" si="43"/>
        <v>0</v>
      </c>
      <c r="R558" s="43">
        <f t="shared" ca="1" si="44"/>
        <v>0</v>
      </c>
      <c r="S558" s="22"/>
      <c r="T558" s="25">
        <v>45586</v>
      </c>
    </row>
    <row r="559" spans="1:20" x14ac:dyDescent="0.3">
      <c r="A559" s="13">
        <v>556</v>
      </c>
      <c r="B559" s="1" t="s">
        <v>686</v>
      </c>
      <c r="C559" s="39">
        <f t="shared" ca="1" si="41"/>
        <v>0</v>
      </c>
      <c r="D559" t="s">
        <v>284</v>
      </c>
      <c r="E559" t="s">
        <v>390</v>
      </c>
      <c r="F559" s="7" t="s">
        <v>78</v>
      </c>
      <c r="G559" s="6" t="s">
        <v>681</v>
      </c>
      <c r="H559" s="2" t="s">
        <v>681</v>
      </c>
      <c r="I559" s="1">
        <v>30</v>
      </c>
      <c r="J559" s="1">
        <v>10</v>
      </c>
      <c r="L559" s="45">
        <f t="shared" si="42"/>
        <v>45617</v>
      </c>
      <c r="M559" s="46">
        <f t="shared" si="45"/>
        <v>45617</v>
      </c>
      <c r="Q559" s="43">
        <f t="shared" si="43"/>
        <v>0</v>
      </c>
      <c r="R559" s="43">
        <f t="shared" ca="1" si="44"/>
        <v>0</v>
      </c>
      <c r="S559" s="22"/>
      <c r="T559" s="25">
        <v>45587</v>
      </c>
    </row>
    <row r="560" spans="1:20" x14ac:dyDescent="0.3">
      <c r="A560" s="13">
        <v>557</v>
      </c>
      <c r="B560" s="1" t="s">
        <v>686</v>
      </c>
      <c r="C560" s="39">
        <f t="shared" ca="1" si="41"/>
        <v>1</v>
      </c>
      <c r="D560" t="s">
        <v>284</v>
      </c>
      <c r="E560" t="s">
        <v>176</v>
      </c>
      <c r="F560" s="7" t="s">
        <v>78</v>
      </c>
      <c r="G560" s="6" t="s">
        <v>681</v>
      </c>
      <c r="H560" s="2" t="s">
        <v>681</v>
      </c>
      <c r="I560" s="1">
        <v>30</v>
      </c>
      <c r="J560" s="1">
        <v>10</v>
      </c>
      <c r="L560" s="45">
        <f t="shared" si="42"/>
        <v>45084</v>
      </c>
      <c r="M560" s="46">
        <f t="shared" si="45"/>
        <v>45618</v>
      </c>
      <c r="N560" s="50">
        <v>45084</v>
      </c>
      <c r="Q560" s="43">
        <f t="shared" si="43"/>
        <v>0</v>
      </c>
      <c r="R560" s="43">
        <f t="shared" ca="1" si="44"/>
        <v>0</v>
      </c>
      <c r="S560" s="22">
        <v>1</v>
      </c>
      <c r="T560" s="25">
        <v>45588</v>
      </c>
    </row>
    <row r="561" spans="1:20" x14ac:dyDescent="0.3">
      <c r="A561" s="13">
        <v>558</v>
      </c>
      <c r="B561" s="1" t="s">
        <v>686</v>
      </c>
      <c r="C561" s="39">
        <f t="shared" ca="1" si="41"/>
        <v>0</v>
      </c>
      <c r="D561" t="s">
        <v>285</v>
      </c>
      <c r="E561" t="s">
        <v>188</v>
      </c>
      <c r="F561" s="7" t="s">
        <v>78</v>
      </c>
      <c r="G561" s="6" t="s">
        <v>681</v>
      </c>
      <c r="H561" s="2" t="s">
        <v>681</v>
      </c>
      <c r="I561" s="1">
        <v>30</v>
      </c>
      <c r="J561" s="1">
        <v>10</v>
      </c>
      <c r="L561" s="45">
        <f t="shared" si="42"/>
        <v>45619</v>
      </c>
      <c r="M561" s="46">
        <f t="shared" si="45"/>
        <v>45619</v>
      </c>
      <c r="Q561" s="43">
        <f t="shared" si="43"/>
        <v>0</v>
      </c>
      <c r="R561" s="43">
        <f t="shared" ca="1" si="44"/>
        <v>0</v>
      </c>
      <c r="S561" s="22"/>
      <c r="T561" s="25">
        <v>45589</v>
      </c>
    </row>
    <row r="562" spans="1:20" x14ac:dyDescent="0.3">
      <c r="A562" s="13">
        <v>559</v>
      </c>
      <c r="B562" s="1" t="s">
        <v>686</v>
      </c>
      <c r="C562" s="39">
        <f t="shared" ca="1" si="41"/>
        <v>0</v>
      </c>
      <c r="D562" t="s">
        <v>285</v>
      </c>
      <c r="E562" t="s">
        <v>391</v>
      </c>
      <c r="F562" s="7" t="s">
        <v>78</v>
      </c>
      <c r="G562" s="6" t="s">
        <v>681</v>
      </c>
      <c r="H562" s="2" t="s">
        <v>681</v>
      </c>
      <c r="I562" s="1">
        <v>30</v>
      </c>
      <c r="J562" s="1">
        <v>10</v>
      </c>
      <c r="L562" s="45">
        <f t="shared" si="42"/>
        <v>45620</v>
      </c>
      <c r="M562" s="46">
        <f t="shared" si="45"/>
        <v>45620</v>
      </c>
      <c r="Q562" s="43">
        <f t="shared" si="43"/>
        <v>0</v>
      </c>
      <c r="R562" s="43">
        <f t="shared" ca="1" si="44"/>
        <v>0</v>
      </c>
      <c r="S562" s="22"/>
      <c r="T562" s="25">
        <v>45590</v>
      </c>
    </row>
    <row r="563" spans="1:20" x14ac:dyDescent="0.3">
      <c r="A563" s="13">
        <v>560</v>
      </c>
      <c r="B563" s="1" t="s">
        <v>686</v>
      </c>
      <c r="C563" s="39">
        <f t="shared" ca="1" si="41"/>
        <v>1</v>
      </c>
      <c r="D563" t="s">
        <v>285</v>
      </c>
      <c r="E563" t="s">
        <v>392</v>
      </c>
      <c r="F563" s="7" t="s">
        <v>78</v>
      </c>
      <c r="G563" s="6" t="s">
        <v>681</v>
      </c>
      <c r="H563" s="2" t="s">
        <v>681</v>
      </c>
      <c r="I563" s="1">
        <v>30</v>
      </c>
      <c r="J563" s="1">
        <v>10</v>
      </c>
      <c r="L563" s="45">
        <f t="shared" si="42"/>
        <v>45084</v>
      </c>
      <c r="M563" s="46">
        <f t="shared" si="45"/>
        <v>45621</v>
      </c>
      <c r="N563" s="50">
        <v>45084</v>
      </c>
      <c r="Q563" s="43">
        <f t="shared" si="43"/>
        <v>0</v>
      </c>
      <c r="R563" s="43">
        <f t="shared" ca="1" si="44"/>
        <v>0</v>
      </c>
      <c r="S563" s="22"/>
      <c r="T563" s="25">
        <v>45591</v>
      </c>
    </row>
    <row r="564" spans="1:20" x14ac:dyDescent="0.3">
      <c r="A564" s="13">
        <v>561</v>
      </c>
      <c r="B564" s="1" t="s">
        <v>686</v>
      </c>
      <c r="C564" s="39">
        <f t="shared" ca="1" si="41"/>
        <v>0</v>
      </c>
      <c r="D564" t="s">
        <v>285</v>
      </c>
      <c r="E564" t="s">
        <v>393</v>
      </c>
      <c r="F564" s="7" t="s">
        <v>78</v>
      </c>
      <c r="G564" s="6" t="s">
        <v>681</v>
      </c>
      <c r="H564" s="2" t="s">
        <v>681</v>
      </c>
      <c r="I564" s="1">
        <v>30</v>
      </c>
      <c r="J564" s="1">
        <v>10</v>
      </c>
      <c r="L564" s="45">
        <f t="shared" si="42"/>
        <v>45622</v>
      </c>
      <c r="M564" s="46">
        <f t="shared" si="45"/>
        <v>45622</v>
      </c>
      <c r="Q564" s="43">
        <f t="shared" si="43"/>
        <v>0</v>
      </c>
      <c r="R564" s="43">
        <f t="shared" ca="1" si="44"/>
        <v>0</v>
      </c>
      <c r="S564" s="22"/>
      <c r="T564" s="25">
        <v>45592</v>
      </c>
    </row>
    <row r="565" spans="1:20" x14ac:dyDescent="0.3">
      <c r="A565" s="13">
        <v>562</v>
      </c>
      <c r="B565" s="1" t="s">
        <v>686</v>
      </c>
      <c r="C565" s="39">
        <f t="shared" ca="1" si="41"/>
        <v>0</v>
      </c>
      <c r="D565" t="s">
        <v>285</v>
      </c>
      <c r="E565" t="s">
        <v>394</v>
      </c>
      <c r="F565" s="7" t="s">
        <v>78</v>
      </c>
      <c r="G565" s="6" t="s">
        <v>681</v>
      </c>
      <c r="H565" s="2" t="s">
        <v>681</v>
      </c>
      <c r="I565" s="1">
        <v>30</v>
      </c>
      <c r="J565" s="1">
        <v>10</v>
      </c>
      <c r="L565" s="45">
        <f t="shared" si="42"/>
        <v>45623</v>
      </c>
      <c r="M565" s="46">
        <f t="shared" si="45"/>
        <v>45623</v>
      </c>
      <c r="Q565" s="43">
        <f t="shared" si="43"/>
        <v>0</v>
      </c>
      <c r="R565" s="43">
        <f t="shared" ca="1" si="44"/>
        <v>0</v>
      </c>
      <c r="S565" s="22"/>
      <c r="T565" s="25">
        <v>45593</v>
      </c>
    </row>
    <row r="566" spans="1:20" x14ac:dyDescent="0.3">
      <c r="A566" s="13">
        <v>563</v>
      </c>
      <c r="B566" s="1" t="s">
        <v>686</v>
      </c>
      <c r="C566" s="39">
        <f t="shared" ca="1" si="41"/>
        <v>0</v>
      </c>
      <c r="D566" t="s">
        <v>285</v>
      </c>
      <c r="E566" t="s">
        <v>365</v>
      </c>
      <c r="F566" s="7" t="s">
        <v>78</v>
      </c>
      <c r="G566" s="6" t="s">
        <v>681</v>
      </c>
      <c r="H566" s="2" t="s">
        <v>681</v>
      </c>
      <c r="I566" s="1">
        <v>30</v>
      </c>
      <c r="J566" s="1">
        <v>10</v>
      </c>
      <c r="L566" s="45">
        <f t="shared" si="42"/>
        <v>45624</v>
      </c>
      <c r="M566" s="46">
        <f t="shared" si="45"/>
        <v>45624</v>
      </c>
      <c r="Q566" s="43">
        <f t="shared" si="43"/>
        <v>0</v>
      </c>
      <c r="R566" s="43">
        <f t="shared" ca="1" si="44"/>
        <v>0</v>
      </c>
      <c r="S566" s="22"/>
      <c r="T566" s="25">
        <v>45594</v>
      </c>
    </row>
    <row r="567" spans="1:20" x14ac:dyDescent="0.3">
      <c r="A567" s="13">
        <v>564</v>
      </c>
      <c r="B567" s="1" t="s">
        <v>686</v>
      </c>
      <c r="C567" s="39">
        <f t="shared" ca="1" si="41"/>
        <v>0</v>
      </c>
      <c r="D567" t="s">
        <v>285</v>
      </c>
      <c r="E567" t="s">
        <v>395</v>
      </c>
      <c r="F567" s="7" t="s">
        <v>78</v>
      </c>
      <c r="G567" s="6" t="s">
        <v>681</v>
      </c>
      <c r="H567" s="2" t="s">
        <v>681</v>
      </c>
      <c r="I567" s="1">
        <v>30</v>
      </c>
      <c r="J567" s="1">
        <v>10</v>
      </c>
      <c r="L567" s="45">
        <f t="shared" si="42"/>
        <v>45625</v>
      </c>
      <c r="M567" s="46">
        <f t="shared" si="45"/>
        <v>45625</v>
      </c>
      <c r="Q567" s="43">
        <f t="shared" si="43"/>
        <v>0</v>
      </c>
      <c r="R567" s="43">
        <f t="shared" ca="1" si="44"/>
        <v>0</v>
      </c>
      <c r="S567" s="22"/>
      <c r="T567" s="25">
        <v>45595</v>
      </c>
    </row>
    <row r="568" spans="1:20" x14ac:dyDescent="0.3">
      <c r="A568" s="13">
        <v>565</v>
      </c>
      <c r="B568" s="1" t="s">
        <v>686</v>
      </c>
      <c r="C568" s="39">
        <f t="shared" ca="1" si="41"/>
        <v>0</v>
      </c>
      <c r="D568" t="s">
        <v>285</v>
      </c>
      <c r="E568" t="s">
        <v>143</v>
      </c>
      <c r="F568" s="7" t="s">
        <v>78</v>
      </c>
      <c r="G568" s="6" t="s">
        <v>681</v>
      </c>
      <c r="H568" s="2" t="s">
        <v>681</v>
      </c>
      <c r="I568" s="1">
        <v>30</v>
      </c>
      <c r="J568" s="1">
        <v>10</v>
      </c>
      <c r="L568" s="45">
        <f t="shared" si="42"/>
        <v>45626</v>
      </c>
      <c r="M568" s="46">
        <f t="shared" si="45"/>
        <v>45626</v>
      </c>
      <c r="Q568" s="43">
        <f t="shared" si="43"/>
        <v>0</v>
      </c>
      <c r="R568" s="43">
        <f t="shared" ca="1" si="44"/>
        <v>0</v>
      </c>
      <c r="S568" s="22"/>
      <c r="T568" s="25">
        <v>45596</v>
      </c>
    </row>
    <row r="569" spans="1:20" x14ac:dyDescent="0.3">
      <c r="A569" s="13">
        <v>566</v>
      </c>
      <c r="B569" s="1" t="s">
        <v>695</v>
      </c>
      <c r="C569" s="39">
        <f t="shared" ca="1" si="41"/>
        <v>0</v>
      </c>
      <c r="D569" t="s">
        <v>284</v>
      </c>
      <c r="E569" t="s">
        <v>388</v>
      </c>
      <c r="F569" s="7" t="s">
        <v>78</v>
      </c>
      <c r="G569" s="6" t="s">
        <v>681</v>
      </c>
      <c r="H569" s="2" t="s">
        <v>681</v>
      </c>
      <c r="I569" s="1">
        <v>30</v>
      </c>
      <c r="J569" s="1">
        <v>10</v>
      </c>
      <c r="L569" s="45">
        <f t="shared" si="42"/>
        <v>45627</v>
      </c>
      <c r="M569" s="46">
        <f t="shared" si="45"/>
        <v>45627</v>
      </c>
      <c r="Q569" s="43">
        <f t="shared" si="43"/>
        <v>0</v>
      </c>
      <c r="R569" s="43">
        <f t="shared" ca="1" si="44"/>
        <v>0</v>
      </c>
      <c r="S569" s="22"/>
      <c r="T569" s="25">
        <v>45597</v>
      </c>
    </row>
    <row r="570" spans="1:20" x14ac:dyDescent="0.3">
      <c r="A570" s="13">
        <v>567</v>
      </c>
      <c r="B570" s="1" t="s">
        <v>695</v>
      </c>
      <c r="C570" s="39">
        <f t="shared" ca="1" si="41"/>
        <v>0</v>
      </c>
      <c r="D570" t="s">
        <v>284</v>
      </c>
      <c r="E570" t="s">
        <v>187</v>
      </c>
      <c r="F570" s="7" t="s">
        <v>78</v>
      </c>
      <c r="G570" s="6" t="s">
        <v>681</v>
      </c>
      <c r="H570" s="2" t="s">
        <v>681</v>
      </c>
      <c r="I570" s="1">
        <v>30</v>
      </c>
      <c r="J570" s="1">
        <v>10</v>
      </c>
      <c r="L570" s="45">
        <f t="shared" si="42"/>
        <v>45628</v>
      </c>
      <c r="M570" s="46">
        <f t="shared" si="45"/>
        <v>45628</v>
      </c>
      <c r="Q570" s="43">
        <f t="shared" si="43"/>
        <v>0</v>
      </c>
      <c r="R570" s="43">
        <f t="shared" ca="1" si="44"/>
        <v>0</v>
      </c>
      <c r="S570" s="22"/>
      <c r="T570" s="25">
        <v>45598</v>
      </c>
    </row>
    <row r="571" spans="1:20" x14ac:dyDescent="0.3">
      <c r="A571" s="13">
        <v>568</v>
      </c>
      <c r="B571" s="1" t="s">
        <v>695</v>
      </c>
      <c r="C571" s="39">
        <f t="shared" ca="1" si="41"/>
        <v>0</v>
      </c>
      <c r="D571" t="s">
        <v>284</v>
      </c>
      <c r="E571" t="s">
        <v>365</v>
      </c>
      <c r="F571" s="7" t="s">
        <v>78</v>
      </c>
      <c r="G571" s="6" t="s">
        <v>681</v>
      </c>
      <c r="H571" s="2" t="s">
        <v>681</v>
      </c>
      <c r="I571" s="1">
        <v>30</v>
      </c>
      <c r="J571" s="1">
        <v>10</v>
      </c>
      <c r="L571" s="45">
        <f t="shared" si="42"/>
        <v>45629</v>
      </c>
      <c r="M571" s="46">
        <f t="shared" si="45"/>
        <v>45629</v>
      </c>
      <c r="Q571" s="43">
        <f t="shared" si="43"/>
        <v>0</v>
      </c>
      <c r="R571" s="43">
        <f t="shared" ca="1" si="44"/>
        <v>0</v>
      </c>
      <c r="S571" s="22"/>
      <c r="T571" s="25">
        <v>45599</v>
      </c>
    </row>
    <row r="572" spans="1:20" x14ac:dyDescent="0.3">
      <c r="A572" s="13">
        <v>569</v>
      </c>
      <c r="B572" s="1" t="s">
        <v>695</v>
      </c>
      <c r="C572" s="39">
        <f t="shared" ca="1" si="41"/>
        <v>0</v>
      </c>
      <c r="D572" t="s">
        <v>284</v>
      </c>
      <c r="E572" t="s">
        <v>389</v>
      </c>
      <c r="F572" s="7" t="s">
        <v>78</v>
      </c>
      <c r="G572" s="6" t="s">
        <v>681</v>
      </c>
      <c r="H572" s="2" t="s">
        <v>681</v>
      </c>
      <c r="I572" s="1">
        <v>30</v>
      </c>
      <c r="J572" s="1">
        <v>10</v>
      </c>
      <c r="L572" s="45">
        <f t="shared" si="42"/>
        <v>45630</v>
      </c>
      <c r="M572" s="46">
        <f t="shared" si="45"/>
        <v>45630</v>
      </c>
      <c r="Q572" s="43">
        <f t="shared" si="43"/>
        <v>0</v>
      </c>
      <c r="R572" s="43">
        <f t="shared" ca="1" si="44"/>
        <v>0</v>
      </c>
      <c r="S572" s="22"/>
      <c r="T572" s="25">
        <v>45600</v>
      </c>
    </row>
    <row r="573" spans="1:20" x14ac:dyDescent="0.3">
      <c r="A573" s="13">
        <v>570</v>
      </c>
      <c r="B573" s="1" t="s">
        <v>695</v>
      </c>
      <c r="C573" s="39">
        <f t="shared" ca="1" si="41"/>
        <v>1</v>
      </c>
      <c r="D573" t="s">
        <v>284</v>
      </c>
      <c r="E573" t="s">
        <v>390</v>
      </c>
      <c r="F573" s="7" t="s">
        <v>78</v>
      </c>
      <c r="G573" s="6" t="s">
        <v>681</v>
      </c>
      <c r="H573" s="2" t="s">
        <v>681</v>
      </c>
      <c r="I573" s="1">
        <v>30</v>
      </c>
      <c r="J573" s="1">
        <v>10</v>
      </c>
      <c r="L573" s="45">
        <f t="shared" si="42"/>
        <v>45084</v>
      </c>
      <c r="M573" s="46">
        <f t="shared" si="45"/>
        <v>45631</v>
      </c>
      <c r="N573" s="50">
        <v>45084</v>
      </c>
      <c r="Q573" s="43">
        <f t="shared" si="43"/>
        <v>0</v>
      </c>
      <c r="R573" s="43">
        <f t="shared" ca="1" si="44"/>
        <v>0</v>
      </c>
      <c r="S573" s="22"/>
      <c r="T573" s="25">
        <v>45601</v>
      </c>
    </row>
    <row r="574" spans="1:20" x14ac:dyDescent="0.3">
      <c r="A574" s="13">
        <v>571</v>
      </c>
      <c r="B574" s="1" t="s">
        <v>695</v>
      </c>
      <c r="C574" s="39">
        <f t="shared" ca="1" si="41"/>
        <v>0</v>
      </c>
      <c r="D574" t="s">
        <v>284</v>
      </c>
      <c r="E574" t="s">
        <v>176</v>
      </c>
      <c r="F574" s="7" t="s">
        <v>78</v>
      </c>
      <c r="G574" s="6" t="s">
        <v>681</v>
      </c>
      <c r="H574" s="2" t="s">
        <v>681</v>
      </c>
      <c r="I574" s="1">
        <v>30</v>
      </c>
      <c r="J574" s="1">
        <v>10</v>
      </c>
      <c r="L574" s="45">
        <f t="shared" si="42"/>
        <v>45632</v>
      </c>
      <c r="M574" s="46">
        <f t="shared" si="45"/>
        <v>45632</v>
      </c>
      <c r="Q574" s="43">
        <f t="shared" si="43"/>
        <v>0</v>
      </c>
      <c r="R574" s="43">
        <f t="shared" ca="1" si="44"/>
        <v>0</v>
      </c>
      <c r="S574" s="22"/>
      <c r="T574" s="25">
        <v>45602</v>
      </c>
    </row>
    <row r="575" spans="1:20" x14ac:dyDescent="0.3">
      <c r="A575" s="13">
        <v>572</v>
      </c>
      <c r="B575" s="1" t="s">
        <v>695</v>
      </c>
      <c r="C575" s="39">
        <f t="shared" ca="1" si="41"/>
        <v>0</v>
      </c>
      <c r="D575" t="s">
        <v>285</v>
      </c>
      <c r="E575" t="s">
        <v>188</v>
      </c>
      <c r="F575" s="7" t="s">
        <v>78</v>
      </c>
      <c r="G575" s="6" t="s">
        <v>681</v>
      </c>
      <c r="H575" s="2" t="s">
        <v>681</v>
      </c>
      <c r="I575" s="1">
        <v>30</v>
      </c>
      <c r="J575" s="1">
        <v>10</v>
      </c>
      <c r="L575" s="45">
        <f t="shared" si="42"/>
        <v>45633</v>
      </c>
      <c r="M575" s="46">
        <f t="shared" si="45"/>
        <v>45633</v>
      </c>
      <c r="Q575" s="43">
        <f t="shared" si="43"/>
        <v>0</v>
      </c>
      <c r="R575" s="43">
        <f t="shared" ca="1" si="44"/>
        <v>0</v>
      </c>
      <c r="S575" s="22"/>
      <c r="T575" s="25">
        <v>45603</v>
      </c>
    </row>
    <row r="576" spans="1:20" x14ac:dyDescent="0.3">
      <c r="A576" s="13">
        <v>573</v>
      </c>
      <c r="B576" s="1" t="s">
        <v>695</v>
      </c>
      <c r="C576" s="39">
        <f t="shared" ca="1" si="41"/>
        <v>0</v>
      </c>
      <c r="D576" t="s">
        <v>285</v>
      </c>
      <c r="E576" t="s">
        <v>391</v>
      </c>
      <c r="F576" s="7" t="s">
        <v>78</v>
      </c>
      <c r="G576" s="6" t="s">
        <v>681</v>
      </c>
      <c r="H576" s="2" t="s">
        <v>681</v>
      </c>
      <c r="I576" s="1">
        <v>30</v>
      </c>
      <c r="J576" s="1">
        <v>10</v>
      </c>
      <c r="L576" s="45">
        <f t="shared" si="42"/>
        <v>45634</v>
      </c>
      <c r="M576" s="46">
        <f t="shared" si="45"/>
        <v>45634</v>
      </c>
      <c r="Q576" s="43">
        <f t="shared" si="43"/>
        <v>0</v>
      </c>
      <c r="R576" s="43">
        <f t="shared" ca="1" si="44"/>
        <v>0</v>
      </c>
      <c r="S576" s="22"/>
      <c r="T576" s="25">
        <v>45604</v>
      </c>
    </row>
    <row r="577" spans="1:20" x14ac:dyDescent="0.3">
      <c r="A577" s="13">
        <v>574</v>
      </c>
      <c r="B577" s="1" t="s">
        <v>695</v>
      </c>
      <c r="C577" s="39">
        <f t="shared" ca="1" si="41"/>
        <v>0</v>
      </c>
      <c r="D577" t="s">
        <v>285</v>
      </c>
      <c r="E577" t="s">
        <v>392</v>
      </c>
      <c r="F577" s="7" t="s">
        <v>78</v>
      </c>
      <c r="G577" s="6" t="s">
        <v>681</v>
      </c>
      <c r="H577" s="2" t="s">
        <v>681</v>
      </c>
      <c r="I577" s="1">
        <v>30</v>
      </c>
      <c r="J577" s="1">
        <v>10</v>
      </c>
      <c r="L577" s="45">
        <f t="shared" si="42"/>
        <v>45635</v>
      </c>
      <c r="M577" s="46">
        <f t="shared" si="45"/>
        <v>45635</v>
      </c>
      <c r="Q577" s="43">
        <f t="shared" si="43"/>
        <v>0</v>
      </c>
      <c r="R577" s="43">
        <f t="shared" ca="1" si="44"/>
        <v>0</v>
      </c>
      <c r="S577" s="22"/>
      <c r="T577" s="25">
        <v>45605</v>
      </c>
    </row>
    <row r="578" spans="1:20" x14ac:dyDescent="0.3">
      <c r="A578" s="13">
        <v>575</v>
      </c>
      <c r="B578" s="1" t="s">
        <v>695</v>
      </c>
      <c r="C578" s="39">
        <f t="shared" ca="1" si="41"/>
        <v>1</v>
      </c>
      <c r="D578" t="s">
        <v>285</v>
      </c>
      <c r="E578" t="s">
        <v>393</v>
      </c>
      <c r="F578" s="7" t="s">
        <v>78</v>
      </c>
      <c r="G578" s="6" t="s">
        <v>681</v>
      </c>
      <c r="H578" s="2" t="s">
        <v>681</v>
      </c>
      <c r="I578" s="1">
        <v>30</v>
      </c>
      <c r="J578" s="1">
        <v>10</v>
      </c>
      <c r="L578" s="45">
        <f t="shared" si="42"/>
        <v>45084</v>
      </c>
      <c r="M578" s="46">
        <f t="shared" si="45"/>
        <v>45636</v>
      </c>
      <c r="N578" s="50">
        <v>45084</v>
      </c>
      <c r="Q578" s="43">
        <f t="shared" si="43"/>
        <v>0</v>
      </c>
      <c r="R578" s="43">
        <f t="shared" ca="1" si="44"/>
        <v>0</v>
      </c>
      <c r="S578" s="22"/>
      <c r="T578" s="25">
        <v>45606</v>
      </c>
    </row>
    <row r="579" spans="1:20" x14ac:dyDescent="0.3">
      <c r="A579" s="13">
        <v>576</v>
      </c>
      <c r="B579" s="1" t="s">
        <v>695</v>
      </c>
      <c r="C579" s="39">
        <f t="shared" ca="1" si="41"/>
        <v>0</v>
      </c>
      <c r="D579" t="s">
        <v>285</v>
      </c>
      <c r="E579" t="s">
        <v>394</v>
      </c>
      <c r="F579" s="7" t="s">
        <v>78</v>
      </c>
      <c r="G579" s="6" t="s">
        <v>681</v>
      </c>
      <c r="H579" s="2" t="s">
        <v>681</v>
      </c>
      <c r="I579" s="1">
        <v>30</v>
      </c>
      <c r="J579" s="1">
        <v>10</v>
      </c>
      <c r="L579" s="45">
        <f t="shared" si="42"/>
        <v>45637</v>
      </c>
      <c r="M579" s="46">
        <f t="shared" si="45"/>
        <v>45637</v>
      </c>
      <c r="Q579" s="43">
        <f t="shared" si="43"/>
        <v>0</v>
      </c>
      <c r="R579" s="43">
        <f t="shared" ca="1" si="44"/>
        <v>0</v>
      </c>
      <c r="S579" s="22"/>
      <c r="T579" s="25">
        <v>45607</v>
      </c>
    </row>
    <row r="580" spans="1:20" x14ac:dyDescent="0.3">
      <c r="A580" s="13">
        <v>577</v>
      </c>
      <c r="B580" s="1" t="s">
        <v>695</v>
      </c>
      <c r="C580" s="39">
        <f t="shared" ca="1" si="41"/>
        <v>0</v>
      </c>
      <c r="D580" t="s">
        <v>285</v>
      </c>
      <c r="E580" t="s">
        <v>365</v>
      </c>
      <c r="F580" s="7" t="s">
        <v>78</v>
      </c>
      <c r="G580" s="6" t="s">
        <v>681</v>
      </c>
      <c r="H580" s="2" t="s">
        <v>681</v>
      </c>
      <c r="I580" s="1">
        <v>30</v>
      </c>
      <c r="J580" s="1">
        <v>10</v>
      </c>
      <c r="L580" s="45">
        <f t="shared" si="42"/>
        <v>45638</v>
      </c>
      <c r="M580" s="46">
        <f t="shared" si="45"/>
        <v>45638</v>
      </c>
      <c r="Q580" s="43">
        <f t="shared" si="43"/>
        <v>0</v>
      </c>
      <c r="R580" s="43">
        <f t="shared" ca="1" si="44"/>
        <v>0</v>
      </c>
      <c r="S580" s="22"/>
      <c r="T580" s="25">
        <v>45608</v>
      </c>
    </row>
    <row r="581" spans="1:20" x14ac:dyDescent="0.3">
      <c r="A581" s="13">
        <v>578</v>
      </c>
      <c r="B581" s="1" t="s">
        <v>695</v>
      </c>
      <c r="C581" s="39">
        <f t="shared" ref="C581:C644" ca="1" si="46">IF(L581&lt;=$A$2,1,0)</f>
        <v>0</v>
      </c>
      <c r="D581" t="s">
        <v>285</v>
      </c>
      <c r="E581" t="s">
        <v>395</v>
      </c>
      <c r="F581" s="7" t="s">
        <v>78</v>
      </c>
      <c r="G581" s="6" t="s">
        <v>681</v>
      </c>
      <c r="H581" s="2" t="s">
        <v>681</v>
      </c>
      <c r="I581" s="1">
        <v>30</v>
      </c>
      <c r="J581" s="1">
        <v>10</v>
      </c>
      <c r="L581" s="45">
        <f t="shared" ref="L581:L644" si="47">IF(N581="",M581,N581)</f>
        <v>45639</v>
      </c>
      <c r="M581" s="46">
        <f t="shared" si="45"/>
        <v>45639</v>
      </c>
      <c r="Q581" s="43">
        <f t="shared" ref="Q581:Q672" si="48">IF(O581&lt;&gt;0,1,0)</f>
        <v>0</v>
      </c>
      <c r="R581" s="43">
        <f t="shared" ref="R581:R672" ca="1" si="49">IF(AND(L581&lt;($A$2+7), L581&gt;($A$2+6)),1,0)</f>
        <v>0</v>
      </c>
      <c r="S581" s="22"/>
      <c r="T581" s="25">
        <v>45609</v>
      </c>
    </row>
    <row r="582" spans="1:20" x14ac:dyDescent="0.3">
      <c r="A582" s="13">
        <v>579</v>
      </c>
      <c r="B582" s="1" t="s">
        <v>695</v>
      </c>
      <c r="C582" s="39">
        <f t="shared" ca="1" si="46"/>
        <v>1</v>
      </c>
      <c r="D582" t="s">
        <v>285</v>
      </c>
      <c r="E582" t="s">
        <v>143</v>
      </c>
      <c r="F582" s="7" t="s">
        <v>78</v>
      </c>
      <c r="G582" s="6" t="s">
        <v>681</v>
      </c>
      <c r="H582" s="2" t="s">
        <v>681</v>
      </c>
      <c r="I582" s="1">
        <v>30</v>
      </c>
      <c r="J582" s="1">
        <v>10</v>
      </c>
      <c r="L582" s="45">
        <f t="shared" si="47"/>
        <v>45084</v>
      </c>
      <c r="M582" s="46">
        <f t="shared" si="45"/>
        <v>45640</v>
      </c>
      <c r="N582" s="50">
        <v>45084</v>
      </c>
      <c r="Q582" s="43">
        <f t="shared" si="48"/>
        <v>0</v>
      </c>
      <c r="R582" s="43">
        <f t="shared" ca="1" si="49"/>
        <v>0</v>
      </c>
      <c r="S582" s="22">
        <v>1</v>
      </c>
      <c r="T582" s="25">
        <v>45610</v>
      </c>
    </row>
    <row r="583" spans="1:20" x14ac:dyDescent="0.3">
      <c r="A583" s="13">
        <v>580</v>
      </c>
      <c r="B583" s="1" t="s">
        <v>692</v>
      </c>
      <c r="C583" s="39">
        <f t="shared" ca="1" si="46"/>
        <v>0</v>
      </c>
      <c r="D583" t="s">
        <v>284</v>
      </c>
      <c r="E583" t="s">
        <v>388</v>
      </c>
      <c r="F583" s="7" t="s">
        <v>78</v>
      </c>
      <c r="G583" s="6" t="s">
        <v>681</v>
      </c>
      <c r="H583" s="2" t="s">
        <v>681</v>
      </c>
      <c r="I583" s="1">
        <v>30</v>
      </c>
      <c r="J583" s="1">
        <v>10</v>
      </c>
      <c r="L583" s="45">
        <f t="shared" si="47"/>
        <v>45641</v>
      </c>
      <c r="M583" s="46">
        <f t="shared" si="45"/>
        <v>45641</v>
      </c>
      <c r="Q583" s="43">
        <f t="shared" ref="Q583:Q596" si="50">IF(O583&lt;&gt;0,1,0)</f>
        <v>0</v>
      </c>
      <c r="R583" s="43">
        <f t="shared" ref="R583:R596" ca="1" si="51">IF(AND(L583&lt;($A$2+7), L583&gt;($A$2+6)),1,0)</f>
        <v>0</v>
      </c>
      <c r="S583" s="22"/>
      <c r="T583" s="25">
        <v>45611</v>
      </c>
    </row>
    <row r="584" spans="1:20" x14ac:dyDescent="0.3">
      <c r="A584" s="13">
        <v>581</v>
      </c>
      <c r="B584" s="1" t="s">
        <v>692</v>
      </c>
      <c r="C584" s="39">
        <f t="shared" ca="1" si="46"/>
        <v>0</v>
      </c>
      <c r="D584" t="s">
        <v>284</v>
      </c>
      <c r="E584" t="s">
        <v>187</v>
      </c>
      <c r="F584" s="7" t="s">
        <v>78</v>
      </c>
      <c r="G584" s="6" t="s">
        <v>681</v>
      </c>
      <c r="H584" s="2" t="s">
        <v>681</v>
      </c>
      <c r="I584" s="1">
        <v>30</v>
      </c>
      <c r="J584" s="1">
        <v>10</v>
      </c>
      <c r="L584" s="45">
        <f t="shared" si="47"/>
        <v>45642</v>
      </c>
      <c r="M584" s="46">
        <f t="shared" si="45"/>
        <v>45642</v>
      </c>
      <c r="Q584" s="43">
        <f t="shared" si="50"/>
        <v>0</v>
      </c>
      <c r="R584" s="43">
        <f t="shared" ca="1" si="51"/>
        <v>0</v>
      </c>
      <c r="S584" s="22"/>
      <c r="T584" s="25">
        <v>45612</v>
      </c>
    </row>
    <row r="585" spans="1:20" x14ac:dyDescent="0.3">
      <c r="A585" s="13">
        <v>582</v>
      </c>
      <c r="B585" s="1" t="s">
        <v>692</v>
      </c>
      <c r="C585" s="39">
        <f t="shared" ca="1" si="46"/>
        <v>0</v>
      </c>
      <c r="D585" t="s">
        <v>284</v>
      </c>
      <c r="E585" t="s">
        <v>365</v>
      </c>
      <c r="F585" s="7" t="s">
        <v>78</v>
      </c>
      <c r="G585" s="6" t="s">
        <v>681</v>
      </c>
      <c r="H585" s="2" t="s">
        <v>681</v>
      </c>
      <c r="I585" s="1">
        <v>30</v>
      </c>
      <c r="J585" s="1">
        <v>10</v>
      </c>
      <c r="L585" s="45">
        <f t="shared" si="47"/>
        <v>45643</v>
      </c>
      <c r="M585" s="46">
        <f t="shared" si="45"/>
        <v>45643</v>
      </c>
      <c r="Q585" s="43">
        <f t="shared" si="50"/>
        <v>0</v>
      </c>
      <c r="R585" s="43">
        <f t="shared" ca="1" si="51"/>
        <v>0</v>
      </c>
      <c r="S585" s="22"/>
      <c r="T585" s="25">
        <v>45613</v>
      </c>
    </row>
    <row r="586" spans="1:20" x14ac:dyDescent="0.3">
      <c r="A586" s="13">
        <v>583</v>
      </c>
      <c r="B586" s="1" t="s">
        <v>692</v>
      </c>
      <c r="C586" s="39">
        <f t="shared" ca="1" si="46"/>
        <v>1</v>
      </c>
      <c r="D586" t="s">
        <v>284</v>
      </c>
      <c r="E586" t="s">
        <v>389</v>
      </c>
      <c r="F586" s="7" t="s">
        <v>78</v>
      </c>
      <c r="G586" s="6" t="s">
        <v>681</v>
      </c>
      <c r="H586" s="2" t="s">
        <v>681</v>
      </c>
      <c r="I586" s="1">
        <v>30</v>
      </c>
      <c r="J586" s="1">
        <v>10</v>
      </c>
      <c r="L586" s="45">
        <f t="shared" si="47"/>
        <v>45084</v>
      </c>
      <c r="M586" s="46">
        <f t="shared" si="45"/>
        <v>45644</v>
      </c>
      <c r="N586" s="50">
        <v>45084</v>
      </c>
      <c r="Q586" s="43">
        <f t="shared" si="50"/>
        <v>0</v>
      </c>
      <c r="R586" s="43">
        <f t="shared" ca="1" si="51"/>
        <v>0</v>
      </c>
      <c r="S586" s="22"/>
      <c r="T586" s="25">
        <v>45614</v>
      </c>
    </row>
    <row r="587" spans="1:20" x14ac:dyDescent="0.3">
      <c r="A587" s="13">
        <v>584</v>
      </c>
      <c r="B587" s="1" t="s">
        <v>692</v>
      </c>
      <c r="C587" s="39">
        <f t="shared" ca="1" si="46"/>
        <v>0</v>
      </c>
      <c r="D587" t="s">
        <v>284</v>
      </c>
      <c r="E587" t="s">
        <v>390</v>
      </c>
      <c r="F587" s="7" t="s">
        <v>78</v>
      </c>
      <c r="G587" s="6" t="s">
        <v>681</v>
      </c>
      <c r="H587" s="2" t="s">
        <v>681</v>
      </c>
      <c r="I587" s="1">
        <v>30</v>
      </c>
      <c r="J587" s="1">
        <v>10</v>
      </c>
      <c r="L587" s="45">
        <f t="shared" si="47"/>
        <v>45645</v>
      </c>
      <c r="M587" s="46">
        <f t="shared" si="45"/>
        <v>45645</v>
      </c>
      <c r="Q587" s="43">
        <f t="shared" si="50"/>
        <v>0</v>
      </c>
      <c r="R587" s="43">
        <f t="shared" ca="1" si="51"/>
        <v>0</v>
      </c>
      <c r="S587" s="22"/>
      <c r="T587" s="25">
        <v>45615</v>
      </c>
    </row>
    <row r="588" spans="1:20" x14ac:dyDescent="0.3">
      <c r="A588" s="13">
        <v>585</v>
      </c>
      <c r="B588" s="1" t="s">
        <v>692</v>
      </c>
      <c r="C588" s="39">
        <f t="shared" ca="1" si="46"/>
        <v>0</v>
      </c>
      <c r="D588" t="s">
        <v>284</v>
      </c>
      <c r="E588" t="s">
        <v>176</v>
      </c>
      <c r="F588" s="7" t="s">
        <v>78</v>
      </c>
      <c r="G588" s="6" t="s">
        <v>681</v>
      </c>
      <c r="H588" s="2" t="s">
        <v>681</v>
      </c>
      <c r="I588" s="1">
        <v>30</v>
      </c>
      <c r="J588" s="1">
        <v>10</v>
      </c>
      <c r="L588" s="45">
        <f t="shared" si="47"/>
        <v>45646</v>
      </c>
      <c r="M588" s="46">
        <f t="shared" si="45"/>
        <v>45646</v>
      </c>
      <c r="Q588" s="43">
        <f t="shared" si="50"/>
        <v>0</v>
      </c>
      <c r="R588" s="43">
        <f t="shared" ca="1" si="51"/>
        <v>0</v>
      </c>
      <c r="S588" s="22"/>
      <c r="T588" s="25">
        <v>45616</v>
      </c>
    </row>
    <row r="589" spans="1:20" x14ac:dyDescent="0.3">
      <c r="A589" s="13">
        <v>586</v>
      </c>
      <c r="B589" s="1" t="s">
        <v>692</v>
      </c>
      <c r="C589" s="39">
        <f t="shared" ca="1" si="46"/>
        <v>0</v>
      </c>
      <c r="D589" t="s">
        <v>285</v>
      </c>
      <c r="E589" t="s">
        <v>188</v>
      </c>
      <c r="F589" s="7" t="s">
        <v>78</v>
      </c>
      <c r="G589" s="6" t="s">
        <v>681</v>
      </c>
      <c r="H589" s="2" t="s">
        <v>681</v>
      </c>
      <c r="I589" s="1">
        <v>30</v>
      </c>
      <c r="J589" s="1">
        <v>10</v>
      </c>
      <c r="L589" s="45">
        <f t="shared" si="47"/>
        <v>45647</v>
      </c>
      <c r="M589" s="46">
        <f t="shared" si="45"/>
        <v>45647</v>
      </c>
      <c r="Q589" s="43">
        <f t="shared" si="50"/>
        <v>0</v>
      </c>
      <c r="R589" s="43">
        <f t="shared" ca="1" si="51"/>
        <v>0</v>
      </c>
      <c r="S589" s="22"/>
      <c r="T589" s="25">
        <v>45617</v>
      </c>
    </row>
    <row r="590" spans="1:20" x14ac:dyDescent="0.3">
      <c r="A590" s="13">
        <v>587</v>
      </c>
      <c r="B590" s="1" t="s">
        <v>692</v>
      </c>
      <c r="C590" s="39">
        <f t="shared" ca="1" si="46"/>
        <v>1</v>
      </c>
      <c r="D590" t="s">
        <v>285</v>
      </c>
      <c r="E590" t="s">
        <v>391</v>
      </c>
      <c r="F590" s="7" t="s">
        <v>78</v>
      </c>
      <c r="G590" s="6" t="s">
        <v>681</v>
      </c>
      <c r="H590" s="2" t="s">
        <v>681</v>
      </c>
      <c r="I590" s="1">
        <v>30</v>
      </c>
      <c r="J590" s="1">
        <v>10</v>
      </c>
      <c r="L590" s="45">
        <f t="shared" si="47"/>
        <v>45084</v>
      </c>
      <c r="M590" s="46">
        <f t="shared" si="45"/>
        <v>45648</v>
      </c>
      <c r="N590" s="50">
        <v>45084</v>
      </c>
      <c r="Q590" s="43">
        <f t="shared" si="50"/>
        <v>0</v>
      </c>
      <c r="R590" s="43">
        <f t="shared" ca="1" si="51"/>
        <v>0</v>
      </c>
      <c r="S590" s="22"/>
      <c r="T590" s="25">
        <v>45618</v>
      </c>
    </row>
    <row r="591" spans="1:20" x14ac:dyDescent="0.3">
      <c r="A591" s="13">
        <v>588</v>
      </c>
      <c r="B591" s="1" t="s">
        <v>692</v>
      </c>
      <c r="C591" s="39">
        <f t="shared" ca="1" si="46"/>
        <v>0</v>
      </c>
      <c r="D591" t="s">
        <v>285</v>
      </c>
      <c r="E591" t="s">
        <v>392</v>
      </c>
      <c r="F591" s="7" t="s">
        <v>78</v>
      </c>
      <c r="G591" s="6" t="s">
        <v>681</v>
      </c>
      <c r="H591" s="2" t="s">
        <v>681</v>
      </c>
      <c r="I591" s="1">
        <v>30</v>
      </c>
      <c r="J591" s="1">
        <v>10</v>
      </c>
      <c r="L591" s="45">
        <f t="shared" si="47"/>
        <v>45649</v>
      </c>
      <c r="M591" s="46">
        <f t="shared" si="45"/>
        <v>45649</v>
      </c>
      <c r="Q591" s="43">
        <f t="shared" si="50"/>
        <v>0</v>
      </c>
      <c r="R591" s="43">
        <f t="shared" ca="1" si="51"/>
        <v>0</v>
      </c>
      <c r="S591" s="22"/>
      <c r="T591" s="25">
        <v>45619</v>
      </c>
    </row>
    <row r="592" spans="1:20" x14ac:dyDescent="0.3">
      <c r="A592" s="13">
        <v>589</v>
      </c>
      <c r="B592" s="1" t="s">
        <v>692</v>
      </c>
      <c r="C592" s="39">
        <f t="shared" ca="1" si="46"/>
        <v>0</v>
      </c>
      <c r="D592" t="s">
        <v>285</v>
      </c>
      <c r="E592" t="s">
        <v>393</v>
      </c>
      <c r="F592" s="7" t="s">
        <v>78</v>
      </c>
      <c r="G592" s="6" t="s">
        <v>681</v>
      </c>
      <c r="H592" s="2" t="s">
        <v>681</v>
      </c>
      <c r="I592" s="1">
        <v>30</v>
      </c>
      <c r="J592" s="1">
        <v>10</v>
      </c>
      <c r="L592" s="45">
        <f t="shared" si="47"/>
        <v>45650</v>
      </c>
      <c r="M592" s="46">
        <f t="shared" si="45"/>
        <v>45650</v>
      </c>
      <c r="Q592" s="43">
        <f t="shared" si="50"/>
        <v>0</v>
      </c>
      <c r="R592" s="43">
        <f t="shared" ca="1" si="51"/>
        <v>0</v>
      </c>
      <c r="S592" s="22"/>
      <c r="T592" s="25">
        <v>45620</v>
      </c>
    </row>
    <row r="593" spans="1:20" x14ac:dyDescent="0.3">
      <c r="A593" s="13">
        <v>590</v>
      </c>
      <c r="B593" s="1" t="s">
        <v>692</v>
      </c>
      <c r="C593" s="39">
        <f t="shared" ca="1" si="46"/>
        <v>1</v>
      </c>
      <c r="D593" t="s">
        <v>285</v>
      </c>
      <c r="E593" t="s">
        <v>394</v>
      </c>
      <c r="F593" s="7" t="s">
        <v>78</v>
      </c>
      <c r="G593" s="6" t="s">
        <v>681</v>
      </c>
      <c r="H593" s="2" t="s">
        <v>681</v>
      </c>
      <c r="I593" s="1">
        <v>30</v>
      </c>
      <c r="J593" s="1">
        <v>10</v>
      </c>
      <c r="L593" s="45">
        <f t="shared" si="47"/>
        <v>45084</v>
      </c>
      <c r="M593" s="46">
        <f t="shared" si="45"/>
        <v>45651</v>
      </c>
      <c r="N593" s="50">
        <v>45084</v>
      </c>
      <c r="Q593" s="43">
        <f t="shared" si="50"/>
        <v>0</v>
      </c>
      <c r="R593" s="43">
        <f t="shared" ca="1" si="51"/>
        <v>0</v>
      </c>
      <c r="S593" s="22"/>
      <c r="T593" s="25">
        <v>45621</v>
      </c>
    </row>
    <row r="594" spans="1:20" x14ac:dyDescent="0.3">
      <c r="A594" s="13">
        <v>591</v>
      </c>
      <c r="B594" s="1" t="s">
        <v>692</v>
      </c>
      <c r="C594" s="39">
        <f t="shared" ca="1" si="46"/>
        <v>0</v>
      </c>
      <c r="D594" t="s">
        <v>285</v>
      </c>
      <c r="E594" t="s">
        <v>365</v>
      </c>
      <c r="F594" s="7" t="s">
        <v>78</v>
      </c>
      <c r="G594" s="6" t="s">
        <v>681</v>
      </c>
      <c r="H594" s="2" t="s">
        <v>681</v>
      </c>
      <c r="I594" s="1">
        <v>30</v>
      </c>
      <c r="J594" s="1">
        <v>10</v>
      </c>
      <c r="L594" s="45">
        <f t="shared" si="47"/>
        <v>45652</v>
      </c>
      <c r="M594" s="46">
        <f t="shared" si="45"/>
        <v>45652</v>
      </c>
      <c r="Q594" s="43">
        <f t="shared" si="50"/>
        <v>0</v>
      </c>
      <c r="R594" s="43">
        <f t="shared" ca="1" si="51"/>
        <v>0</v>
      </c>
      <c r="S594" s="22"/>
      <c r="T594" s="25">
        <v>45622</v>
      </c>
    </row>
    <row r="595" spans="1:20" x14ac:dyDescent="0.3">
      <c r="A595" s="13">
        <v>592</v>
      </c>
      <c r="B595" s="1" t="s">
        <v>692</v>
      </c>
      <c r="C595" s="39">
        <f t="shared" ca="1" si="46"/>
        <v>0</v>
      </c>
      <c r="D595" t="s">
        <v>285</v>
      </c>
      <c r="E595" t="s">
        <v>395</v>
      </c>
      <c r="F595" s="7" t="s">
        <v>78</v>
      </c>
      <c r="G595" s="6" t="s">
        <v>681</v>
      </c>
      <c r="H595" s="2" t="s">
        <v>681</v>
      </c>
      <c r="I595" s="1">
        <v>30</v>
      </c>
      <c r="J595" s="1">
        <v>10</v>
      </c>
      <c r="L595" s="45">
        <f t="shared" si="47"/>
        <v>45653</v>
      </c>
      <c r="M595" s="46">
        <f t="shared" si="45"/>
        <v>45653</v>
      </c>
      <c r="Q595" s="43">
        <f t="shared" si="50"/>
        <v>0</v>
      </c>
      <c r="R595" s="43">
        <f t="shared" ca="1" si="51"/>
        <v>0</v>
      </c>
      <c r="S595" s="22"/>
      <c r="T595" s="25">
        <v>45623</v>
      </c>
    </row>
    <row r="596" spans="1:20" x14ac:dyDescent="0.3">
      <c r="A596" s="13">
        <v>593</v>
      </c>
      <c r="B596" s="1" t="s">
        <v>692</v>
      </c>
      <c r="C596" s="39">
        <f t="shared" ca="1" si="46"/>
        <v>0</v>
      </c>
      <c r="D596" t="s">
        <v>285</v>
      </c>
      <c r="E596" t="s">
        <v>143</v>
      </c>
      <c r="F596" s="7" t="s">
        <v>78</v>
      </c>
      <c r="G596" s="6" t="s">
        <v>681</v>
      </c>
      <c r="H596" s="2" t="s">
        <v>681</v>
      </c>
      <c r="I596" s="1">
        <v>30</v>
      </c>
      <c r="J596" s="1">
        <v>10</v>
      </c>
      <c r="L596" s="45">
        <f t="shared" si="47"/>
        <v>45654</v>
      </c>
      <c r="M596" s="46">
        <f t="shared" si="45"/>
        <v>45654</v>
      </c>
      <c r="Q596" s="43">
        <f t="shared" si="50"/>
        <v>0</v>
      </c>
      <c r="R596" s="43">
        <f t="shared" ca="1" si="51"/>
        <v>0</v>
      </c>
      <c r="S596" s="22"/>
      <c r="T596" s="25">
        <v>45624</v>
      </c>
    </row>
    <row r="597" spans="1:20" x14ac:dyDescent="0.3">
      <c r="A597" s="13">
        <v>594</v>
      </c>
      <c r="B597" s="1" t="s">
        <v>687</v>
      </c>
      <c r="C597" s="39">
        <f t="shared" ca="1" si="46"/>
        <v>0</v>
      </c>
      <c r="D597" t="s">
        <v>284</v>
      </c>
      <c r="E597" t="s">
        <v>388</v>
      </c>
      <c r="F597" s="7" t="s">
        <v>78</v>
      </c>
      <c r="G597" s="6" t="s">
        <v>681</v>
      </c>
      <c r="H597" s="2" t="s">
        <v>681</v>
      </c>
      <c r="I597" s="1">
        <v>30</v>
      </c>
      <c r="J597" s="1">
        <v>10</v>
      </c>
      <c r="L597" s="45">
        <f t="shared" si="47"/>
        <v>45641</v>
      </c>
      <c r="M597" s="46">
        <f t="shared" si="45"/>
        <v>45641</v>
      </c>
      <c r="Q597" s="43">
        <f t="shared" si="48"/>
        <v>0</v>
      </c>
      <c r="R597" s="43">
        <f t="shared" ca="1" si="49"/>
        <v>0</v>
      </c>
      <c r="S597" s="22"/>
      <c r="T597" s="25">
        <v>45611</v>
      </c>
    </row>
    <row r="598" spans="1:20" x14ac:dyDescent="0.3">
      <c r="A598" s="13">
        <v>595</v>
      </c>
      <c r="B598" s="1" t="s">
        <v>687</v>
      </c>
      <c r="C598" s="39">
        <f t="shared" ca="1" si="46"/>
        <v>0</v>
      </c>
      <c r="D598" t="s">
        <v>284</v>
      </c>
      <c r="E598" t="s">
        <v>187</v>
      </c>
      <c r="F598" s="7" t="s">
        <v>78</v>
      </c>
      <c r="G598" s="6" t="s">
        <v>681</v>
      </c>
      <c r="H598" s="2" t="s">
        <v>681</v>
      </c>
      <c r="I598" s="1">
        <v>30</v>
      </c>
      <c r="J598" s="1">
        <v>10</v>
      </c>
      <c r="L598" s="45">
        <f t="shared" si="47"/>
        <v>45642</v>
      </c>
      <c r="M598" s="46">
        <f t="shared" si="45"/>
        <v>45642</v>
      </c>
      <c r="Q598" s="43">
        <f t="shared" si="48"/>
        <v>0</v>
      </c>
      <c r="R598" s="43">
        <f t="shared" ca="1" si="49"/>
        <v>0</v>
      </c>
      <c r="S598" s="22"/>
      <c r="T598" s="25">
        <v>45612</v>
      </c>
    </row>
    <row r="599" spans="1:20" x14ac:dyDescent="0.3">
      <c r="A599" s="13">
        <v>596</v>
      </c>
      <c r="B599" s="1" t="s">
        <v>687</v>
      </c>
      <c r="C599" s="39">
        <f t="shared" ca="1" si="46"/>
        <v>0</v>
      </c>
      <c r="D599" t="s">
        <v>284</v>
      </c>
      <c r="E599" t="s">
        <v>365</v>
      </c>
      <c r="F599" s="7" t="s">
        <v>78</v>
      </c>
      <c r="G599" s="6" t="s">
        <v>681</v>
      </c>
      <c r="H599" s="2" t="s">
        <v>681</v>
      </c>
      <c r="I599" s="1">
        <v>30</v>
      </c>
      <c r="J599" s="1">
        <v>10</v>
      </c>
      <c r="L599" s="45">
        <f t="shared" si="47"/>
        <v>45643</v>
      </c>
      <c r="M599" s="46">
        <f t="shared" si="45"/>
        <v>45643</v>
      </c>
      <c r="Q599" s="43">
        <f t="shared" si="48"/>
        <v>0</v>
      </c>
      <c r="R599" s="43">
        <f t="shared" ca="1" si="49"/>
        <v>0</v>
      </c>
      <c r="S599" s="22"/>
      <c r="T599" s="25">
        <v>45613</v>
      </c>
    </row>
    <row r="600" spans="1:20" x14ac:dyDescent="0.3">
      <c r="A600" s="13">
        <v>597</v>
      </c>
      <c r="B600" s="1" t="s">
        <v>687</v>
      </c>
      <c r="C600" s="39">
        <f t="shared" ca="1" si="46"/>
        <v>0</v>
      </c>
      <c r="D600" t="s">
        <v>284</v>
      </c>
      <c r="E600" t="s">
        <v>389</v>
      </c>
      <c r="F600" s="7" t="s">
        <v>78</v>
      </c>
      <c r="G600" s="6" t="s">
        <v>681</v>
      </c>
      <c r="H600" s="2" t="s">
        <v>681</v>
      </c>
      <c r="I600" s="1">
        <v>30</v>
      </c>
      <c r="J600" s="1">
        <v>10</v>
      </c>
      <c r="L600" s="45">
        <f t="shared" si="47"/>
        <v>45644</v>
      </c>
      <c r="M600" s="46">
        <f t="shared" si="45"/>
        <v>45644</v>
      </c>
      <c r="Q600" s="43">
        <f t="shared" si="48"/>
        <v>0</v>
      </c>
      <c r="R600" s="43">
        <f t="shared" ca="1" si="49"/>
        <v>0</v>
      </c>
      <c r="S600" s="22"/>
      <c r="T600" s="25">
        <v>45614</v>
      </c>
    </row>
    <row r="601" spans="1:20" x14ac:dyDescent="0.3">
      <c r="A601" s="13">
        <v>598</v>
      </c>
      <c r="B601" s="1" t="s">
        <v>687</v>
      </c>
      <c r="C601" s="39">
        <f t="shared" ca="1" si="46"/>
        <v>0</v>
      </c>
      <c r="D601" t="s">
        <v>284</v>
      </c>
      <c r="E601" t="s">
        <v>390</v>
      </c>
      <c r="F601" s="7" t="s">
        <v>78</v>
      </c>
      <c r="G601" s="6" t="s">
        <v>681</v>
      </c>
      <c r="H601" s="2" t="s">
        <v>681</v>
      </c>
      <c r="I601" s="1">
        <v>30</v>
      </c>
      <c r="J601" s="1">
        <v>10</v>
      </c>
      <c r="L601" s="45">
        <f t="shared" si="47"/>
        <v>45645</v>
      </c>
      <c r="M601" s="46">
        <f t="shared" si="45"/>
        <v>45645</v>
      </c>
      <c r="Q601" s="43">
        <f t="shared" si="48"/>
        <v>0</v>
      </c>
      <c r="R601" s="43">
        <f t="shared" ca="1" si="49"/>
        <v>0</v>
      </c>
      <c r="S601" s="22"/>
      <c r="T601" s="25">
        <v>45615</v>
      </c>
    </row>
    <row r="602" spans="1:20" x14ac:dyDescent="0.3">
      <c r="A602" s="13">
        <v>599</v>
      </c>
      <c r="B602" s="1" t="s">
        <v>687</v>
      </c>
      <c r="C602" s="39">
        <f t="shared" ca="1" si="46"/>
        <v>0</v>
      </c>
      <c r="D602" t="s">
        <v>284</v>
      </c>
      <c r="E602" t="s">
        <v>176</v>
      </c>
      <c r="F602" s="7" t="s">
        <v>78</v>
      </c>
      <c r="G602" s="6" t="s">
        <v>681</v>
      </c>
      <c r="H602" s="2" t="s">
        <v>681</v>
      </c>
      <c r="I602" s="1">
        <v>30</v>
      </c>
      <c r="J602" s="1">
        <v>10</v>
      </c>
      <c r="L602" s="45">
        <f t="shared" si="47"/>
        <v>45646</v>
      </c>
      <c r="M602" s="46">
        <f t="shared" si="45"/>
        <v>45646</v>
      </c>
      <c r="Q602" s="43">
        <f t="shared" si="48"/>
        <v>0</v>
      </c>
      <c r="R602" s="43">
        <f t="shared" ca="1" si="49"/>
        <v>0</v>
      </c>
      <c r="S602" s="22"/>
      <c r="T602" s="25">
        <v>45616</v>
      </c>
    </row>
    <row r="603" spans="1:20" x14ac:dyDescent="0.3">
      <c r="A603" s="13">
        <v>600</v>
      </c>
      <c r="B603" s="1" t="s">
        <v>687</v>
      </c>
      <c r="C603" s="39">
        <f t="shared" ca="1" si="46"/>
        <v>0</v>
      </c>
      <c r="D603" t="s">
        <v>285</v>
      </c>
      <c r="E603" t="s">
        <v>188</v>
      </c>
      <c r="F603" s="7" t="s">
        <v>78</v>
      </c>
      <c r="G603" s="6" t="s">
        <v>681</v>
      </c>
      <c r="H603" s="2" t="s">
        <v>681</v>
      </c>
      <c r="I603" s="1">
        <v>30</v>
      </c>
      <c r="J603" s="1">
        <v>10</v>
      </c>
      <c r="L603" s="45">
        <f t="shared" si="47"/>
        <v>45647</v>
      </c>
      <c r="M603" s="46">
        <f t="shared" si="45"/>
        <v>45647</v>
      </c>
      <c r="Q603" s="43">
        <f t="shared" si="48"/>
        <v>0</v>
      </c>
      <c r="R603" s="43">
        <f t="shared" ca="1" si="49"/>
        <v>0</v>
      </c>
      <c r="S603" s="22"/>
      <c r="T603" s="25">
        <v>45617</v>
      </c>
    </row>
    <row r="604" spans="1:20" x14ac:dyDescent="0.3">
      <c r="A604" s="13">
        <v>601</v>
      </c>
      <c r="B604" s="1" t="s">
        <v>687</v>
      </c>
      <c r="C604" s="39">
        <f t="shared" ca="1" si="46"/>
        <v>0</v>
      </c>
      <c r="D604" t="s">
        <v>285</v>
      </c>
      <c r="E604" t="s">
        <v>391</v>
      </c>
      <c r="F604" s="7" t="s">
        <v>78</v>
      </c>
      <c r="G604" s="6" t="s">
        <v>681</v>
      </c>
      <c r="H604" s="2" t="s">
        <v>681</v>
      </c>
      <c r="I604" s="1">
        <v>30</v>
      </c>
      <c r="J604" s="1">
        <v>10</v>
      </c>
      <c r="L604" s="45">
        <f t="shared" si="47"/>
        <v>45648</v>
      </c>
      <c r="M604" s="46">
        <f t="shared" si="45"/>
        <v>45648</v>
      </c>
      <c r="Q604" s="43">
        <f t="shared" si="48"/>
        <v>0</v>
      </c>
      <c r="R604" s="43">
        <f t="shared" ca="1" si="49"/>
        <v>0</v>
      </c>
      <c r="S604" s="22"/>
      <c r="T604" s="25">
        <v>45618</v>
      </c>
    </row>
    <row r="605" spans="1:20" x14ac:dyDescent="0.3">
      <c r="A605" s="13">
        <v>602</v>
      </c>
      <c r="B605" s="1" t="s">
        <v>687</v>
      </c>
      <c r="C605" s="39">
        <f t="shared" ca="1" si="46"/>
        <v>0</v>
      </c>
      <c r="D605" t="s">
        <v>285</v>
      </c>
      <c r="E605" t="s">
        <v>392</v>
      </c>
      <c r="F605" s="7" t="s">
        <v>78</v>
      </c>
      <c r="G605" s="6" t="s">
        <v>681</v>
      </c>
      <c r="H605" s="2" t="s">
        <v>681</v>
      </c>
      <c r="I605" s="1">
        <v>30</v>
      </c>
      <c r="J605" s="1">
        <v>10</v>
      </c>
      <c r="L605" s="45">
        <f t="shared" si="47"/>
        <v>45649</v>
      </c>
      <c r="M605" s="46">
        <f t="shared" si="45"/>
        <v>45649</v>
      </c>
      <c r="Q605" s="43">
        <f t="shared" si="48"/>
        <v>0</v>
      </c>
      <c r="R605" s="43">
        <f t="shared" ca="1" si="49"/>
        <v>0</v>
      </c>
      <c r="S605" s="22"/>
      <c r="T605" s="25">
        <v>45619</v>
      </c>
    </row>
    <row r="606" spans="1:20" x14ac:dyDescent="0.3">
      <c r="A606" s="13">
        <v>603</v>
      </c>
      <c r="B606" s="1" t="s">
        <v>687</v>
      </c>
      <c r="C606" s="39">
        <f t="shared" ca="1" si="46"/>
        <v>0</v>
      </c>
      <c r="D606" t="s">
        <v>285</v>
      </c>
      <c r="E606" t="s">
        <v>393</v>
      </c>
      <c r="F606" s="7" t="s">
        <v>78</v>
      </c>
      <c r="G606" s="6" t="s">
        <v>681</v>
      </c>
      <c r="H606" s="2" t="s">
        <v>681</v>
      </c>
      <c r="I606" s="1">
        <v>30</v>
      </c>
      <c r="J606" s="1">
        <v>10</v>
      </c>
      <c r="L606" s="45">
        <f t="shared" si="47"/>
        <v>45650</v>
      </c>
      <c r="M606" s="46">
        <f t="shared" si="45"/>
        <v>45650</v>
      </c>
      <c r="Q606" s="43">
        <f t="shared" si="48"/>
        <v>0</v>
      </c>
      <c r="R606" s="43">
        <f t="shared" ca="1" si="49"/>
        <v>0</v>
      </c>
      <c r="S606" s="22"/>
      <c r="T606" s="25">
        <v>45620</v>
      </c>
    </row>
    <row r="607" spans="1:20" x14ac:dyDescent="0.3">
      <c r="A607" s="13">
        <v>604</v>
      </c>
      <c r="B607" s="1" t="s">
        <v>687</v>
      </c>
      <c r="C607" s="39">
        <f t="shared" ca="1" si="46"/>
        <v>0</v>
      </c>
      <c r="D607" t="s">
        <v>285</v>
      </c>
      <c r="E607" t="s">
        <v>394</v>
      </c>
      <c r="F607" s="7" t="s">
        <v>78</v>
      </c>
      <c r="G607" s="6" t="s">
        <v>681</v>
      </c>
      <c r="H607" s="2" t="s">
        <v>681</v>
      </c>
      <c r="I607" s="1">
        <v>30</v>
      </c>
      <c r="J607" s="1">
        <v>10</v>
      </c>
      <c r="L607" s="45">
        <f t="shared" si="47"/>
        <v>45651</v>
      </c>
      <c r="M607" s="46">
        <f t="shared" si="45"/>
        <v>45651</v>
      </c>
      <c r="Q607" s="43">
        <f t="shared" si="48"/>
        <v>0</v>
      </c>
      <c r="R607" s="43">
        <f t="shared" ca="1" si="49"/>
        <v>0</v>
      </c>
      <c r="S607" s="22"/>
      <c r="T607" s="25">
        <v>45621</v>
      </c>
    </row>
    <row r="608" spans="1:20" x14ac:dyDescent="0.3">
      <c r="A608" s="13">
        <v>605</v>
      </c>
      <c r="B608" s="1" t="s">
        <v>687</v>
      </c>
      <c r="C608" s="39">
        <f t="shared" ca="1" si="46"/>
        <v>0</v>
      </c>
      <c r="D608" t="s">
        <v>285</v>
      </c>
      <c r="E608" t="s">
        <v>365</v>
      </c>
      <c r="F608" s="7" t="s">
        <v>78</v>
      </c>
      <c r="G608" s="6" t="s">
        <v>681</v>
      </c>
      <c r="H608" s="2" t="s">
        <v>681</v>
      </c>
      <c r="I608" s="1">
        <v>30</v>
      </c>
      <c r="J608" s="1">
        <v>10</v>
      </c>
      <c r="L608" s="45">
        <f t="shared" si="47"/>
        <v>45652</v>
      </c>
      <c r="M608" s="46">
        <f t="shared" si="45"/>
        <v>45652</v>
      </c>
      <c r="Q608" s="43">
        <f t="shared" si="48"/>
        <v>0</v>
      </c>
      <c r="R608" s="43">
        <f t="shared" ca="1" si="49"/>
        <v>0</v>
      </c>
      <c r="S608" s="22"/>
      <c r="T608" s="25">
        <v>45622</v>
      </c>
    </row>
    <row r="609" spans="1:20" x14ac:dyDescent="0.3">
      <c r="A609" s="13">
        <v>606</v>
      </c>
      <c r="B609" s="1" t="s">
        <v>687</v>
      </c>
      <c r="C609" s="39">
        <f t="shared" ca="1" si="46"/>
        <v>0</v>
      </c>
      <c r="D609" t="s">
        <v>285</v>
      </c>
      <c r="E609" t="s">
        <v>395</v>
      </c>
      <c r="F609" s="7" t="s">
        <v>78</v>
      </c>
      <c r="G609" s="6" t="s">
        <v>681</v>
      </c>
      <c r="H609" s="2" t="s">
        <v>681</v>
      </c>
      <c r="I609" s="1">
        <v>30</v>
      </c>
      <c r="J609" s="1">
        <v>10</v>
      </c>
      <c r="L609" s="45">
        <f t="shared" si="47"/>
        <v>45653</v>
      </c>
      <c r="M609" s="46">
        <f t="shared" ref="M609:M672" si="52">T609+I609</f>
        <v>45653</v>
      </c>
      <c r="Q609" s="43">
        <f t="shared" si="48"/>
        <v>0</v>
      </c>
      <c r="R609" s="43">
        <f t="shared" ca="1" si="49"/>
        <v>0</v>
      </c>
      <c r="S609" s="22"/>
      <c r="T609" s="25">
        <v>45623</v>
      </c>
    </row>
    <row r="610" spans="1:20" x14ac:dyDescent="0.3">
      <c r="A610" s="13">
        <v>607</v>
      </c>
      <c r="B610" s="1" t="s">
        <v>687</v>
      </c>
      <c r="C610" s="39">
        <f t="shared" ca="1" si="46"/>
        <v>0</v>
      </c>
      <c r="D610" t="s">
        <v>285</v>
      </c>
      <c r="E610" t="s">
        <v>143</v>
      </c>
      <c r="F610" s="7" t="s">
        <v>78</v>
      </c>
      <c r="G610" s="6" t="s">
        <v>681</v>
      </c>
      <c r="H610" s="2" t="s">
        <v>681</v>
      </c>
      <c r="I610" s="1">
        <v>30</v>
      </c>
      <c r="J610" s="1">
        <v>10</v>
      </c>
      <c r="L610" s="45">
        <f t="shared" si="47"/>
        <v>45654</v>
      </c>
      <c r="M610" s="46">
        <f t="shared" si="52"/>
        <v>45654</v>
      </c>
      <c r="Q610" s="43">
        <f t="shared" si="48"/>
        <v>0</v>
      </c>
      <c r="R610" s="43">
        <f t="shared" ca="1" si="49"/>
        <v>0</v>
      </c>
      <c r="S610" s="22"/>
      <c r="T610" s="25">
        <v>45624</v>
      </c>
    </row>
    <row r="611" spans="1:20" x14ac:dyDescent="0.3">
      <c r="A611" s="13">
        <v>608</v>
      </c>
      <c r="B611" s="1" t="s">
        <v>689</v>
      </c>
      <c r="C611" s="39">
        <f t="shared" ca="1" si="46"/>
        <v>0</v>
      </c>
      <c r="D611" t="s">
        <v>284</v>
      </c>
      <c r="E611" t="s">
        <v>388</v>
      </c>
      <c r="F611" s="7" t="s">
        <v>78</v>
      </c>
      <c r="G611" s="6" t="s">
        <v>681</v>
      </c>
      <c r="H611" s="2" t="s">
        <v>681</v>
      </c>
      <c r="I611" s="1">
        <v>30</v>
      </c>
      <c r="J611" s="1">
        <v>10</v>
      </c>
      <c r="L611" s="45">
        <f t="shared" si="47"/>
        <v>45641</v>
      </c>
      <c r="M611" s="46">
        <f t="shared" si="52"/>
        <v>45641</v>
      </c>
      <c r="Q611" s="43">
        <f t="shared" ref="Q611:Q624" si="53">IF(O611&lt;&gt;0,1,0)</f>
        <v>0</v>
      </c>
      <c r="R611" s="43">
        <f t="shared" ref="R611:R624" ca="1" si="54">IF(AND(L611&lt;($A$2+7), L611&gt;($A$2+6)),1,0)</f>
        <v>0</v>
      </c>
      <c r="S611" s="22"/>
      <c r="T611" s="25">
        <v>45611</v>
      </c>
    </row>
    <row r="612" spans="1:20" x14ac:dyDescent="0.3">
      <c r="A612" s="13">
        <v>609</v>
      </c>
      <c r="B612" s="1" t="s">
        <v>689</v>
      </c>
      <c r="C612" s="39">
        <f t="shared" ca="1" si="46"/>
        <v>0</v>
      </c>
      <c r="D612" t="s">
        <v>284</v>
      </c>
      <c r="E612" t="s">
        <v>187</v>
      </c>
      <c r="F612" s="7" t="s">
        <v>78</v>
      </c>
      <c r="G612" s="6" t="s">
        <v>681</v>
      </c>
      <c r="H612" s="2" t="s">
        <v>681</v>
      </c>
      <c r="I612" s="1">
        <v>30</v>
      </c>
      <c r="J612" s="1">
        <v>10</v>
      </c>
      <c r="L612" s="45">
        <f t="shared" si="47"/>
        <v>45642</v>
      </c>
      <c r="M612" s="46">
        <f t="shared" si="52"/>
        <v>45642</v>
      </c>
      <c r="Q612" s="43">
        <f t="shared" si="53"/>
        <v>0</v>
      </c>
      <c r="R612" s="43">
        <f t="shared" ca="1" si="54"/>
        <v>0</v>
      </c>
      <c r="S612" s="22"/>
      <c r="T612" s="25">
        <v>45612</v>
      </c>
    </row>
    <row r="613" spans="1:20" x14ac:dyDescent="0.3">
      <c r="A613" s="13">
        <v>610</v>
      </c>
      <c r="B613" s="1" t="s">
        <v>689</v>
      </c>
      <c r="C613" s="39">
        <f t="shared" ca="1" si="46"/>
        <v>0</v>
      </c>
      <c r="D613" t="s">
        <v>284</v>
      </c>
      <c r="E613" t="s">
        <v>365</v>
      </c>
      <c r="F613" s="7" t="s">
        <v>78</v>
      </c>
      <c r="G613" s="6" t="s">
        <v>681</v>
      </c>
      <c r="H613" s="2" t="s">
        <v>681</v>
      </c>
      <c r="I613" s="1">
        <v>30</v>
      </c>
      <c r="J613" s="1">
        <v>10</v>
      </c>
      <c r="L613" s="45">
        <f t="shared" si="47"/>
        <v>45643</v>
      </c>
      <c r="M613" s="46">
        <f t="shared" si="52"/>
        <v>45643</v>
      </c>
      <c r="Q613" s="43">
        <f t="shared" si="53"/>
        <v>0</v>
      </c>
      <c r="R613" s="43">
        <f t="shared" ca="1" si="54"/>
        <v>0</v>
      </c>
      <c r="S613" s="22"/>
      <c r="T613" s="25">
        <v>45613</v>
      </c>
    </row>
    <row r="614" spans="1:20" x14ac:dyDescent="0.3">
      <c r="A614" s="13">
        <v>611</v>
      </c>
      <c r="B614" s="1" t="s">
        <v>689</v>
      </c>
      <c r="C614" s="39">
        <f t="shared" ca="1" si="46"/>
        <v>0</v>
      </c>
      <c r="D614" t="s">
        <v>284</v>
      </c>
      <c r="E614" t="s">
        <v>389</v>
      </c>
      <c r="F614" s="7" t="s">
        <v>78</v>
      </c>
      <c r="G614" s="6" t="s">
        <v>681</v>
      </c>
      <c r="H614" s="2" t="s">
        <v>681</v>
      </c>
      <c r="I614" s="1">
        <v>30</v>
      </c>
      <c r="J614" s="1">
        <v>10</v>
      </c>
      <c r="L614" s="45">
        <f t="shared" si="47"/>
        <v>45644</v>
      </c>
      <c r="M614" s="46">
        <f t="shared" si="52"/>
        <v>45644</v>
      </c>
      <c r="Q614" s="43">
        <f t="shared" si="53"/>
        <v>0</v>
      </c>
      <c r="R614" s="43">
        <f t="shared" ca="1" si="54"/>
        <v>0</v>
      </c>
      <c r="S614" s="22"/>
      <c r="T614" s="25">
        <v>45614</v>
      </c>
    </row>
    <row r="615" spans="1:20" x14ac:dyDescent="0.3">
      <c r="A615" s="13">
        <v>612</v>
      </c>
      <c r="B615" s="1" t="s">
        <v>689</v>
      </c>
      <c r="C615" s="39">
        <f t="shared" ca="1" si="46"/>
        <v>0</v>
      </c>
      <c r="D615" t="s">
        <v>284</v>
      </c>
      <c r="E615" t="s">
        <v>390</v>
      </c>
      <c r="F615" s="7" t="s">
        <v>78</v>
      </c>
      <c r="G615" s="6" t="s">
        <v>681</v>
      </c>
      <c r="H615" s="2" t="s">
        <v>681</v>
      </c>
      <c r="I615" s="1">
        <v>30</v>
      </c>
      <c r="J615" s="1">
        <v>10</v>
      </c>
      <c r="L615" s="45">
        <f t="shared" si="47"/>
        <v>45645</v>
      </c>
      <c r="M615" s="46">
        <f t="shared" si="52"/>
        <v>45645</v>
      </c>
      <c r="Q615" s="43">
        <f t="shared" si="53"/>
        <v>0</v>
      </c>
      <c r="R615" s="43">
        <f t="shared" ca="1" si="54"/>
        <v>0</v>
      </c>
      <c r="S615" s="22"/>
      <c r="T615" s="25">
        <v>45615</v>
      </c>
    </row>
    <row r="616" spans="1:20" x14ac:dyDescent="0.3">
      <c r="A616" s="13">
        <v>613</v>
      </c>
      <c r="B616" s="1" t="s">
        <v>689</v>
      </c>
      <c r="C616" s="39">
        <f t="shared" ca="1" si="46"/>
        <v>0</v>
      </c>
      <c r="D616" t="s">
        <v>284</v>
      </c>
      <c r="E616" t="s">
        <v>176</v>
      </c>
      <c r="F616" s="7" t="s">
        <v>78</v>
      </c>
      <c r="G616" s="6" t="s">
        <v>681</v>
      </c>
      <c r="H616" s="2" t="s">
        <v>681</v>
      </c>
      <c r="I616" s="1">
        <v>30</v>
      </c>
      <c r="J616" s="1">
        <v>10</v>
      </c>
      <c r="L616" s="45">
        <f t="shared" si="47"/>
        <v>45646</v>
      </c>
      <c r="M616" s="46">
        <f t="shared" si="52"/>
        <v>45646</v>
      </c>
      <c r="Q616" s="43">
        <f t="shared" si="53"/>
        <v>0</v>
      </c>
      <c r="R616" s="43">
        <f t="shared" ca="1" si="54"/>
        <v>0</v>
      </c>
      <c r="S616" s="22"/>
      <c r="T616" s="25">
        <v>45616</v>
      </c>
    </row>
    <row r="617" spans="1:20" x14ac:dyDescent="0.3">
      <c r="A617" s="13">
        <v>614</v>
      </c>
      <c r="B617" s="1" t="s">
        <v>689</v>
      </c>
      <c r="C617" s="39">
        <f t="shared" ca="1" si="46"/>
        <v>0</v>
      </c>
      <c r="D617" t="s">
        <v>285</v>
      </c>
      <c r="E617" t="s">
        <v>188</v>
      </c>
      <c r="F617" s="7" t="s">
        <v>78</v>
      </c>
      <c r="G617" s="6" t="s">
        <v>681</v>
      </c>
      <c r="H617" s="2" t="s">
        <v>681</v>
      </c>
      <c r="I617" s="1">
        <v>30</v>
      </c>
      <c r="J617" s="1">
        <v>10</v>
      </c>
      <c r="L617" s="45">
        <f t="shared" si="47"/>
        <v>45647</v>
      </c>
      <c r="M617" s="46">
        <f t="shared" si="52"/>
        <v>45647</v>
      </c>
      <c r="Q617" s="43">
        <f t="shared" si="53"/>
        <v>0</v>
      </c>
      <c r="R617" s="43">
        <f t="shared" ca="1" si="54"/>
        <v>0</v>
      </c>
      <c r="S617" s="22"/>
      <c r="T617" s="25">
        <v>45617</v>
      </c>
    </row>
    <row r="618" spans="1:20" x14ac:dyDescent="0.3">
      <c r="A618" s="13">
        <v>615</v>
      </c>
      <c r="B618" s="1" t="s">
        <v>689</v>
      </c>
      <c r="C618" s="39">
        <f t="shared" ca="1" si="46"/>
        <v>0</v>
      </c>
      <c r="D618" t="s">
        <v>285</v>
      </c>
      <c r="E618" t="s">
        <v>391</v>
      </c>
      <c r="F618" s="7" t="s">
        <v>78</v>
      </c>
      <c r="G618" s="6" t="s">
        <v>681</v>
      </c>
      <c r="H618" s="2" t="s">
        <v>681</v>
      </c>
      <c r="I618" s="1">
        <v>30</v>
      </c>
      <c r="J618" s="1">
        <v>10</v>
      </c>
      <c r="L618" s="45">
        <f t="shared" si="47"/>
        <v>45648</v>
      </c>
      <c r="M618" s="46">
        <f t="shared" si="52"/>
        <v>45648</v>
      </c>
      <c r="Q618" s="43">
        <f t="shared" si="53"/>
        <v>0</v>
      </c>
      <c r="R618" s="43">
        <f t="shared" ca="1" si="54"/>
        <v>0</v>
      </c>
      <c r="S618" s="22"/>
      <c r="T618" s="25">
        <v>45618</v>
      </c>
    </row>
    <row r="619" spans="1:20" x14ac:dyDescent="0.3">
      <c r="A619" s="13">
        <v>616</v>
      </c>
      <c r="B619" s="1" t="s">
        <v>689</v>
      </c>
      <c r="C619" s="39">
        <f t="shared" ca="1" si="46"/>
        <v>0</v>
      </c>
      <c r="D619" t="s">
        <v>285</v>
      </c>
      <c r="E619" t="s">
        <v>392</v>
      </c>
      <c r="F619" s="7" t="s">
        <v>78</v>
      </c>
      <c r="G619" s="6" t="s">
        <v>681</v>
      </c>
      <c r="H619" s="2" t="s">
        <v>681</v>
      </c>
      <c r="I619" s="1">
        <v>30</v>
      </c>
      <c r="J619" s="1">
        <v>10</v>
      </c>
      <c r="L619" s="45">
        <f t="shared" si="47"/>
        <v>45649</v>
      </c>
      <c r="M619" s="46">
        <f t="shared" si="52"/>
        <v>45649</v>
      </c>
      <c r="Q619" s="43">
        <f t="shared" si="53"/>
        <v>0</v>
      </c>
      <c r="R619" s="43">
        <f t="shared" ca="1" si="54"/>
        <v>0</v>
      </c>
      <c r="S619" s="22"/>
      <c r="T619" s="25">
        <v>45619</v>
      </c>
    </row>
    <row r="620" spans="1:20" x14ac:dyDescent="0.3">
      <c r="A620" s="13">
        <v>617</v>
      </c>
      <c r="B620" s="1" t="s">
        <v>689</v>
      </c>
      <c r="C620" s="39">
        <f t="shared" ca="1" si="46"/>
        <v>0</v>
      </c>
      <c r="D620" t="s">
        <v>285</v>
      </c>
      <c r="E620" t="s">
        <v>393</v>
      </c>
      <c r="F620" s="7" t="s">
        <v>78</v>
      </c>
      <c r="G620" s="6" t="s">
        <v>681</v>
      </c>
      <c r="H620" s="2" t="s">
        <v>681</v>
      </c>
      <c r="I620" s="1">
        <v>30</v>
      </c>
      <c r="J620" s="1">
        <v>10</v>
      </c>
      <c r="L620" s="45">
        <f t="shared" si="47"/>
        <v>45650</v>
      </c>
      <c r="M620" s="46">
        <f t="shared" si="52"/>
        <v>45650</v>
      </c>
      <c r="Q620" s="43">
        <f t="shared" si="53"/>
        <v>0</v>
      </c>
      <c r="R620" s="43">
        <f t="shared" ca="1" si="54"/>
        <v>0</v>
      </c>
      <c r="S620" s="22"/>
      <c r="T620" s="25">
        <v>45620</v>
      </c>
    </row>
    <row r="621" spans="1:20" x14ac:dyDescent="0.3">
      <c r="A621" s="13">
        <v>618</v>
      </c>
      <c r="B621" s="1" t="s">
        <v>689</v>
      </c>
      <c r="C621" s="39">
        <f t="shared" ca="1" si="46"/>
        <v>0</v>
      </c>
      <c r="D621" t="s">
        <v>285</v>
      </c>
      <c r="E621" t="s">
        <v>394</v>
      </c>
      <c r="F621" s="7" t="s">
        <v>78</v>
      </c>
      <c r="G621" s="6" t="s">
        <v>681</v>
      </c>
      <c r="H621" s="2" t="s">
        <v>681</v>
      </c>
      <c r="I621" s="1">
        <v>30</v>
      </c>
      <c r="J621" s="1">
        <v>10</v>
      </c>
      <c r="L621" s="45">
        <f t="shared" si="47"/>
        <v>45651</v>
      </c>
      <c r="M621" s="46">
        <f t="shared" si="52"/>
        <v>45651</v>
      </c>
      <c r="Q621" s="43">
        <f t="shared" si="53"/>
        <v>0</v>
      </c>
      <c r="R621" s="43">
        <f t="shared" ca="1" si="54"/>
        <v>0</v>
      </c>
      <c r="S621" s="22"/>
      <c r="T621" s="25">
        <v>45621</v>
      </c>
    </row>
    <row r="622" spans="1:20" x14ac:dyDescent="0.3">
      <c r="A622" s="13">
        <v>619</v>
      </c>
      <c r="B622" s="1" t="s">
        <v>689</v>
      </c>
      <c r="C622" s="39">
        <f t="shared" ca="1" si="46"/>
        <v>0</v>
      </c>
      <c r="D622" t="s">
        <v>285</v>
      </c>
      <c r="E622" t="s">
        <v>365</v>
      </c>
      <c r="F622" s="7" t="s">
        <v>78</v>
      </c>
      <c r="G622" s="6" t="s">
        <v>681</v>
      </c>
      <c r="H622" s="2" t="s">
        <v>681</v>
      </c>
      <c r="I622" s="1">
        <v>30</v>
      </c>
      <c r="J622" s="1">
        <v>10</v>
      </c>
      <c r="L622" s="45">
        <f t="shared" si="47"/>
        <v>45652</v>
      </c>
      <c r="M622" s="46">
        <f t="shared" si="52"/>
        <v>45652</v>
      </c>
      <c r="Q622" s="43">
        <f t="shared" si="53"/>
        <v>0</v>
      </c>
      <c r="R622" s="43">
        <f t="shared" ca="1" si="54"/>
        <v>0</v>
      </c>
      <c r="S622" s="22"/>
      <c r="T622" s="25">
        <v>45622</v>
      </c>
    </row>
    <row r="623" spans="1:20" x14ac:dyDescent="0.3">
      <c r="A623" s="13">
        <v>620</v>
      </c>
      <c r="B623" s="1" t="s">
        <v>689</v>
      </c>
      <c r="C623" s="39">
        <f t="shared" ca="1" si="46"/>
        <v>0</v>
      </c>
      <c r="D623" t="s">
        <v>285</v>
      </c>
      <c r="E623" t="s">
        <v>395</v>
      </c>
      <c r="F623" s="7" t="s">
        <v>78</v>
      </c>
      <c r="G623" s="6" t="s">
        <v>681</v>
      </c>
      <c r="H623" s="2" t="s">
        <v>681</v>
      </c>
      <c r="I623" s="1">
        <v>30</v>
      </c>
      <c r="J623" s="1">
        <v>10</v>
      </c>
      <c r="L623" s="45">
        <f t="shared" si="47"/>
        <v>45653</v>
      </c>
      <c r="M623" s="46">
        <f t="shared" si="52"/>
        <v>45653</v>
      </c>
      <c r="Q623" s="43">
        <f t="shared" si="53"/>
        <v>0</v>
      </c>
      <c r="R623" s="43">
        <f t="shared" ca="1" si="54"/>
        <v>0</v>
      </c>
      <c r="S623" s="22"/>
      <c r="T623" s="25">
        <v>45623</v>
      </c>
    </row>
    <row r="624" spans="1:20" x14ac:dyDescent="0.3">
      <c r="A624" s="13">
        <v>621</v>
      </c>
      <c r="B624" s="1" t="s">
        <v>689</v>
      </c>
      <c r="C624" s="39">
        <f t="shared" ca="1" si="46"/>
        <v>0</v>
      </c>
      <c r="D624" t="s">
        <v>285</v>
      </c>
      <c r="E624" t="s">
        <v>143</v>
      </c>
      <c r="F624" s="7" t="s">
        <v>78</v>
      </c>
      <c r="G624" s="6" t="s">
        <v>681</v>
      </c>
      <c r="H624" s="2" t="s">
        <v>681</v>
      </c>
      <c r="I624" s="1">
        <v>30</v>
      </c>
      <c r="J624" s="1">
        <v>10</v>
      </c>
      <c r="L624" s="45">
        <f t="shared" si="47"/>
        <v>45654</v>
      </c>
      <c r="M624" s="46">
        <f t="shared" si="52"/>
        <v>45654</v>
      </c>
      <c r="Q624" s="43">
        <f t="shared" si="53"/>
        <v>0</v>
      </c>
      <c r="R624" s="43">
        <f t="shared" ca="1" si="54"/>
        <v>0</v>
      </c>
      <c r="S624" s="22"/>
      <c r="T624" s="25">
        <v>45624</v>
      </c>
    </row>
    <row r="625" spans="1:20" x14ac:dyDescent="0.3">
      <c r="A625" s="13">
        <v>622</v>
      </c>
      <c r="B625" s="1" t="s">
        <v>693</v>
      </c>
      <c r="C625" s="39">
        <f t="shared" ca="1" si="46"/>
        <v>0</v>
      </c>
      <c r="D625" t="s">
        <v>284</v>
      </c>
      <c r="E625" t="s">
        <v>388</v>
      </c>
      <c r="F625" s="7" t="s">
        <v>78</v>
      </c>
      <c r="G625" s="6" t="s">
        <v>681</v>
      </c>
      <c r="H625" s="2" t="s">
        <v>681</v>
      </c>
      <c r="I625" s="1">
        <v>30</v>
      </c>
      <c r="J625" s="1">
        <v>10</v>
      </c>
      <c r="L625" s="45">
        <f t="shared" si="47"/>
        <v>45655</v>
      </c>
      <c r="M625" s="46">
        <f t="shared" si="52"/>
        <v>45655</v>
      </c>
      <c r="Q625" s="43">
        <f t="shared" si="48"/>
        <v>0</v>
      </c>
      <c r="R625" s="43">
        <f t="shared" ca="1" si="49"/>
        <v>0</v>
      </c>
      <c r="S625" s="22"/>
      <c r="T625" s="25">
        <v>45625</v>
      </c>
    </row>
    <row r="626" spans="1:20" x14ac:dyDescent="0.3">
      <c r="A626" s="13">
        <v>623</v>
      </c>
      <c r="B626" s="1" t="s">
        <v>693</v>
      </c>
      <c r="C626" s="39">
        <f t="shared" ca="1" si="46"/>
        <v>0</v>
      </c>
      <c r="D626" t="s">
        <v>284</v>
      </c>
      <c r="E626" t="s">
        <v>187</v>
      </c>
      <c r="F626" s="7" t="s">
        <v>78</v>
      </c>
      <c r="G626" s="6" t="s">
        <v>681</v>
      </c>
      <c r="H626" s="2" t="s">
        <v>681</v>
      </c>
      <c r="I626" s="1">
        <v>30</v>
      </c>
      <c r="J626" s="1">
        <v>10</v>
      </c>
      <c r="L626" s="45">
        <f t="shared" si="47"/>
        <v>45656</v>
      </c>
      <c r="M626" s="46">
        <f t="shared" si="52"/>
        <v>45656</v>
      </c>
      <c r="Q626" s="43">
        <f t="shared" si="48"/>
        <v>0</v>
      </c>
      <c r="R626" s="43">
        <f t="shared" ca="1" si="49"/>
        <v>0</v>
      </c>
      <c r="S626" s="22"/>
      <c r="T626" s="25">
        <v>45626</v>
      </c>
    </row>
    <row r="627" spans="1:20" x14ac:dyDescent="0.3">
      <c r="A627" s="13">
        <v>624</v>
      </c>
      <c r="B627" s="1" t="s">
        <v>693</v>
      </c>
      <c r="C627" s="39">
        <f t="shared" ca="1" si="46"/>
        <v>0</v>
      </c>
      <c r="D627" t="s">
        <v>284</v>
      </c>
      <c r="E627" t="s">
        <v>365</v>
      </c>
      <c r="F627" s="7" t="s">
        <v>78</v>
      </c>
      <c r="G627" s="6" t="s">
        <v>681</v>
      </c>
      <c r="H627" s="2" t="s">
        <v>681</v>
      </c>
      <c r="I627" s="1">
        <v>30</v>
      </c>
      <c r="J627" s="1">
        <v>10</v>
      </c>
      <c r="L627" s="45">
        <f t="shared" si="47"/>
        <v>45657</v>
      </c>
      <c r="M627" s="46">
        <f t="shared" si="52"/>
        <v>45657</v>
      </c>
      <c r="Q627" s="43">
        <f t="shared" si="48"/>
        <v>0</v>
      </c>
      <c r="R627" s="43">
        <f t="shared" ca="1" si="49"/>
        <v>0</v>
      </c>
      <c r="S627" s="22"/>
      <c r="T627" s="25">
        <v>45627</v>
      </c>
    </row>
    <row r="628" spans="1:20" x14ac:dyDescent="0.3">
      <c r="A628" s="13">
        <v>625</v>
      </c>
      <c r="B628" s="1" t="s">
        <v>693</v>
      </c>
      <c r="C628" s="39">
        <f t="shared" ca="1" si="46"/>
        <v>0</v>
      </c>
      <c r="D628" t="s">
        <v>284</v>
      </c>
      <c r="E628" t="s">
        <v>389</v>
      </c>
      <c r="F628" s="7" t="s">
        <v>78</v>
      </c>
      <c r="G628" s="6" t="s">
        <v>681</v>
      </c>
      <c r="H628" s="2" t="s">
        <v>681</v>
      </c>
      <c r="I628" s="1">
        <v>30</v>
      </c>
      <c r="J628" s="1">
        <v>10</v>
      </c>
      <c r="L628" s="45">
        <f t="shared" si="47"/>
        <v>45658</v>
      </c>
      <c r="M628" s="46">
        <f t="shared" si="52"/>
        <v>45658</v>
      </c>
      <c r="Q628" s="43">
        <f t="shared" si="48"/>
        <v>0</v>
      </c>
      <c r="R628" s="43">
        <f t="shared" ca="1" si="49"/>
        <v>0</v>
      </c>
      <c r="S628" s="22"/>
      <c r="T628" s="25">
        <v>45628</v>
      </c>
    </row>
    <row r="629" spans="1:20" x14ac:dyDescent="0.3">
      <c r="A629" s="13">
        <v>626</v>
      </c>
      <c r="B629" s="1" t="s">
        <v>693</v>
      </c>
      <c r="C629" s="39">
        <f t="shared" ca="1" si="46"/>
        <v>0</v>
      </c>
      <c r="D629" t="s">
        <v>284</v>
      </c>
      <c r="E629" t="s">
        <v>390</v>
      </c>
      <c r="F629" s="7" t="s">
        <v>78</v>
      </c>
      <c r="G629" s="6" t="s">
        <v>681</v>
      </c>
      <c r="H629" s="2" t="s">
        <v>681</v>
      </c>
      <c r="I629" s="1">
        <v>30</v>
      </c>
      <c r="J629" s="1">
        <v>10</v>
      </c>
      <c r="L629" s="45">
        <f t="shared" si="47"/>
        <v>45659</v>
      </c>
      <c r="M629" s="46">
        <f t="shared" si="52"/>
        <v>45659</v>
      </c>
      <c r="Q629" s="43">
        <f t="shared" si="48"/>
        <v>0</v>
      </c>
      <c r="R629" s="43">
        <f t="shared" ca="1" si="49"/>
        <v>0</v>
      </c>
      <c r="S629" s="22"/>
      <c r="T629" s="25">
        <v>45629</v>
      </c>
    </row>
    <row r="630" spans="1:20" x14ac:dyDescent="0.3">
      <c r="A630" s="13">
        <v>627</v>
      </c>
      <c r="B630" s="1" t="s">
        <v>693</v>
      </c>
      <c r="C630" s="39">
        <f t="shared" ca="1" si="46"/>
        <v>0</v>
      </c>
      <c r="D630" t="s">
        <v>284</v>
      </c>
      <c r="E630" t="s">
        <v>176</v>
      </c>
      <c r="F630" s="7" t="s">
        <v>78</v>
      </c>
      <c r="G630" s="6" t="s">
        <v>681</v>
      </c>
      <c r="H630" s="2" t="s">
        <v>681</v>
      </c>
      <c r="I630" s="1">
        <v>30</v>
      </c>
      <c r="J630" s="1">
        <v>10</v>
      </c>
      <c r="L630" s="45">
        <f t="shared" si="47"/>
        <v>45660</v>
      </c>
      <c r="M630" s="46">
        <f t="shared" si="52"/>
        <v>45660</v>
      </c>
      <c r="Q630" s="43">
        <f t="shared" si="48"/>
        <v>0</v>
      </c>
      <c r="R630" s="43">
        <f t="shared" ca="1" si="49"/>
        <v>0</v>
      </c>
      <c r="S630" s="22"/>
      <c r="T630" s="25">
        <v>45630</v>
      </c>
    </row>
    <row r="631" spans="1:20" x14ac:dyDescent="0.3">
      <c r="A631" s="13">
        <v>628</v>
      </c>
      <c r="B631" s="1" t="s">
        <v>693</v>
      </c>
      <c r="C631" s="39">
        <f t="shared" ca="1" si="46"/>
        <v>0</v>
      </c>
      <c r="D631" t="s">
        <v>285</v>
      </c>
      <c r="E631" t="s">
        <v>188</v>
      </c>
      <c r="F631" s="7" t="s">
        <v>78</v>
      </c>
      <c r="G631" s="6" t="s">
        <v>681</v>
      </c>
      <c r="H631" s="2" t="s">
        <v>681</v>
      </c>
      <c r="I631" s="1">
        <v>30</v>
      </c>
      <c r="J631" s="1">
        <v>10</v>
      </c>
      <c r="L631" s="45">
        <f t="shared" si="47"/>
        <v>45661</v>
      </c>
      <c r="M631" s="46">
        <f t="shared" si="52"/>
        <v>45661</v>
      </c>
      <c r="Q631" s="43">
        <f t="shared" si="48"/>
        <v>0</v>
      </c>
      <c r="R631" s="43">
        <f t="shared" ca="1" si="49"/>
        <v>0</v>
      </c>
      <c r="S631" s="22"/>
      <c r="T631" s="25">
        <v>45631</v>
      </c>
    </row>
    <row r="632" spans="1:20" x14ac:dyDescent="0.3">
      <c r="A632" s="13">
        <v>629</v>
      </c>
      <c r="B632" s="1" t="s">
        <v>693</v>
      </c>
      <c r="C632" s="39">
        <f t="shared" ca="1" si="46"/>
        <v>0</v>
      </c>
      <c r="D632" t="s">
        <v>285</v>
      </c>
      <c r="E632" t="s">
        <v>391</v>
      </c>
      <c r="F632" s="7" t="s">
        <v>78</v>
      </c>
      <c r="G632" s="6" t="s">
        <v>681</v>
      </c>
      <c r="H632" s="2" t="s">
        <v>681</v>
      </c>
      <c r="I632" s="1">
        <v>30</v>
      </c>
      <c r="J632" s="1">
        <v>10</v>
      </c>
      <c r="L632" s="45">
        <f t="shared" si="47"/>
        <v>45662</v>
      </c>
      <c r="M632" s="46">
        <f t="shared" si="52"/>
        <v>45662</v>
      </c>
      <c r="Q632" s="43">
        <f t="shared" si="48"/>
        <v>0</v>
      </c>
      <c r="R632" s="43">
        <f t="shared" ca="1" si="49"/>
        <v>0</v>
      </c>
      <c r="S632" s="22"/>
      <c r="T632" s="25">
        <v>45632</v>
      </c>
    </row>
    <row r="633" spans="1:20" x14ac:dyDescent="0.3">
      <c r="A633" s="13">
        <v>630</v>
      </c>
      <c r="B633" s="1" t="s">
        <v>693</v>
      </c>
      <c r="C633" s="39">
        <f t="shared" ca="1" si="46"/>
        <v>0</v>
      </c>
      <c r="D633" t="s">
        <v>285</v>
      </c>
      <c r="E633" t="s">
        <v>392</v>
      </c>
      <c r="F633" s="7" t="s">
        <v>78</v>
      </c>
      <c r="G633" s="6" t="s">
        <v>681</v>
      </c>
      <c r="H633" s="2" t="s">
        <v>681</v>
      </c>
      <c r="I633" s="1">
        <v>30</v>
      </c>
      <c r="J633" s="1">
        <v>10</v>
      </c>
      <c r="L633" s="45">
        <f t="shared" si="47"/>
        <v>45663</v>
      </c>
      <c r="M633" s="46">
        <f t="shared" si="52"/>
        <v>45663</v>
      </c>
      <c r="Q633" s="43">
        <f t="shared" si="48"/>
        <v>0</v>
      </c>
      <c r="R633" s="43">
        <f t="shared" ca="1" si="49"/>
        <v>0</v>
      </c>
      <c r="S633" s="22"/>
      <c r="T633" s="25">
        <v>45633</v>
      </c>
    </row>
    <row r="634" spans="1:20" x14ac:dyDescent="0.3">
      <c r="A634" s="13">
        <v>631</v>
      </c>
      <c r="B634" s="1" t="s">
        <v>693</v>
      </c>
      <c r="C634" s="39">
        <f t="shared" ca="1" si="46"/>
        <v>0</v>
      </c>
      <c r="D634" t="s">
        <v>285</v>
      </c>
      <c r="E634" t="s">
        <v>393</v>
      </c>
      <c r="F634" s="7" t="s">
        <v>78</v>
      </c>
      <c r="G634" s="6" t="s">
        <v>681</v>
      </c>
      <c r="H634" s="2" t="s">
        <v>681</v>
      </c>
      <c r="I634" s="1">
        <v>30</v>
      </c>
      <c r="J634" s="1">
        <v>10</v>
      </c>
      <c r="L634" s="45">
        <f t="shared" si="47"/>
        <v>45664</v>
      </c>
      <c r="M634" s="46">
        <f t="shared" si="52"/>
        <v>45664</v>
      </c>
      <c r="Q634" s="43">
        <f t="shared" si="48"/>
        <v>0</v>
      </c>
      <c r="R634" s="43">
        <f t="shared" ca="1" si="49"/>
        <v>0</v>
      </c>
      <c r="S634" s="22"/>
      <c r="T634" s="25">
        <v>45634</v>
      </c>
    </row>
    <row r="635" spans="1:20" x14ac:dyDescent="0.3">
      <c r="A635" s="13">
        <v>632</v>
      </c>
      <c r="B635" s="1" t="s">
        <v>693</v>
      </c>
      <c r="C635" s="39">
        <f t="shared" ca="1" si="46"/>
        <v>0</v>
      </c>
      <c r="D635" t="s">
        <v>285</v>
      </c>
      <c r="E635" t="s">
        <v>394</v>
      </c>
      <c r="F635" s="7" t="s">
        <v>78</v>
      </c>
      <c r="G635" s="6" t="s">
        <v>681</v>
      </c>
      <c r="H635" s="2" t="s">
        <v>681</v>
      </c>
      <c r="I635" s="1">
        <v>30</v>
      </c>
      <c r="J635" s="1">
        <v>10</v>
      </c>
      <c r="L635" s="45">
        <f t="shared" si="47"/>
        <v>45665</v>
      </c>
      <c r="M635" s="46">
        <f t="shared" si="52"/>
        <v>45665</v>
      </c>
      <c r="Q635" s="43">
        <f t="shared" si="48"/>
        <v>0</v>
      </c>
      <c r="R635" s="43">
        <f t="shared" ca="1" si="49"/>
        <v>0</v>
      </c>
      <c r="S635" s="22"/>
      <c r="T635" s="25">
        <v>45635</v>
      </c>
    </row>
    <row r="636" spans="1:20" x14ac:dyDescent="0.3">
      <c r="A636" s="13">
        <v>633</v>
      </c>
      <c r="B636" s="1" t="s">
        <v>693</v>
      </c>
      <c r="C636" s="39">
        <f t="shared" ca="1" si="46"/>
        <v>0</v>
      </c>
      <c r="D636" t="s">
        <v>285</v>
      </c>
      <c r="E636" t="s">
        <v>365</v>
      </c>
      <c r="F636" s="7" t="s">
        <v>78</v>
      </c>
      <c r="G636" s="6" t="s">
        <v>681</v>
      </c>
      <c r="H636" s="2" t="s">
        <v>681</v>
      </c>
      <c r="I636" s="1">
        <v>30</v>
      </c>
      <c r="J636" s="1">
        <v>10</v>
      </c>
      <c r="L636" s="45">
        <f t="shared" si="47"/>
        <v>45666</v>
      </c>
      <c r="M636" s="46">
        <f t="shared" si="52"/>
        <v>45666</v>
      </c>
      <c r="Q636" s="43">
        <f t="shared" si="48"/>
        <v>0</v>
      </c>
      <c r="R636" s="43">
        <f t="shared" ca="1" si="49"/>
        <v>0</v>
      </c>
      <c r="S636" s="22"/>
      <c r="T636" s="25">
        <v>45636</v>
      </c>
    </row>
    <row r="637" spans="1:20" x14ac:dyDescent="0.3">
      <c r="A637" s="13">
        <v>634</v>
      </c>
      <c r="B637" s="1" t="s">
        <v>693</v>
      </c>
      <c r="C637" s="39">
        <f t="shared" ca="1" si="46"/>
        <v>0</v>
      </c>
      <c r="D637" t="s">
        <v>285</v>
      </c>
      <c r="E637" t="s">
        <v>395</v>
      </c>
      <c r="F637" s="7" t="s">
        <v>78</v>
      </c>
      <c r="G637" s="6" t="s">
        <v>681</v>
      </c>
      <c r="H637" s="2" t="s">
        <v>681</v>
      </c>
      <c r="I637" s="1">
        <v>30</v>
      </c>
      <c r="J637" s="1">
        <v>10</v>
      </c>
      <c r="L637" s="45">
        <f t="shared" si="47"/>
        <v>45667</v>
      </c>
      <c r="M637" s="46">
        <f t="shared" si="52"/>
        <v>45667</v>
      </c>
      <c r="Q637" s="43">
        <f t="shared" si="48"/>
        <v>0</v>
      </c>
      <c r="R637" s="43">
        <f t="shared" ca="1" si="49"/>
        <v>0</v>
      </c>
      <c r="S637" s="22"/>
      <c r="T637" s="25">
        <v>45637</v>
      </c>
    </row>
    <row r="638" spans="1:20" x14ac:dyDescent="0.3">
      <c r="A638" s="13">
        <v>635</v>
      </c>
      <c r="B638" s="1" t="s">
        <v>693</v>
      </c>
      <c r="C638" s="39">
        <f t="shared" ca="1" si="46"/>
        <v>0</v>
      </c>
      <c r="D638" t="s">
        <v>285</v>
      </c>
      <c r="E638" t="s">
        <v>143</v>
      </c>
      <c r="F638" s="7" t="s">
        <v>78</v>
      </c>
      <c r="G638" s="6" t="s">
        <v>681</v>
      </c>
      <c r="H638" s="2" t="s">
        <v>681</v>
      </c>
      <c r="I638" s="1">
        <v>30</v>
      </c>
      <c r="J638" s="1">
        <v>10</v>
      </c>
      <c r="L638" s="45">
        <f t="shared" si="47"/>
        <v>45668</v>
      </c>
      <c r="M638" s="46">
        <f t="shared" si="52"/>
        <v>45668</v>
      </c>
      <c r="Q638" s="43">
        <f t="shared" si="48"/>
        <v>0</v>
      </c>
      <c r="R638" s="43">
        <f t="shared" ca="1" si="49"/>
        <v>0</v>
      </c>
      <c r="S638" s="22"/>
      <c r="T638" s="25">
        <v>45638</v>
      </c>
    </row>
    <row r="639" spans="1:20" x14ac:dyDescent="0.3">
      <c r="A639" s="13">
        <v>636</v>
      </c>
      <c r="B639" s="1" t="s">
        <v>690</v>
      </c>
      <c r="C639" s="39">
        <f t="shared" ca="1" si="46"/>
        <v>0</v>
      </c>
      <c r="D639" t="s">
        <v>284</v>
      </c>
      <c r="E639" t="s">
        <v>388</v>
      </c>
      <c r="F639" s="7" t="s">
        <v>78</v>
      </c>
      <c r="G639" s="6" t="s">
        <v>681</v>
      </c>
      <c r="H639" s="2" t="s">
        <v>681</v>
      </c>
      <c r="I639" s="1">
        <v>30</v>
      </c>
      <c r="J639" s="1">
        <v>10</v>
      </c>
      <c r="L639" s="45">
        <f t="shared" si="47"/>
        <v>45669</v>
      </c>
      <c r="M639" s="46">
        <f t="shared" si="52"/>
        <v>45669</v>
      </c>
      <c r="Q639" s="43">
        <f t="shared" si="48"/>
        <v>0</v>
      </c>
      <c r="R639" s="43">
        <f t="shared" ca="1" si="49"/>
        <v>0</v>
      </c>
      <c r="S639" s="22"/>
      <c r="T639" s="25">
        <v>45639</v>
      </c>
    </row>
    <row r="640" spans="1:20" x14ac:dyDescent="0.3">
      <c r="A640" s="13">
        <v>637</v>
      </c>
      <c r="B640" s="1" t="s">
        <v>690</v>
      </c>
      <c r="C640" s="39">
        <f t="shared" ca="1" si="46"/>
        <v>0</v>
      </c>
      <c r="D640" t="s">
        <v>284</v>
      </c>
      <c r="E640" t="s">
        <v>187</v>
      </c>
      <c r="F640" s="7" t="s">
        <v>78</v>
      </c>
      <c r="G640" s="6" t="s">
        <v>681</v>
      </c>
      <c r="H640" s="2" t="s">
        <v>681</v>
      </c>
      <c r="I640" s="1">
        <v>30</v>
      </c>
      <c r="J640" s="1">
        <v>10</v>
      </c>
      <c r="L640" s="45">
        <f t="shared" si="47"/>
        <v>45670</v>
      </c>
      <c r="M640" s="46">
        <f t="shared" si="52"/>
        <v>45670</v>
      </c>
      <c r="Q640" s="43">
        <f t="shared" si="48"/>
        <v>0</v>
      </c>
      <c r="R640" s="43">
        <f t="shared" ca="1" si="49"/>
        <v>0</v>
      </c>
      <c r="S640" s="22"/>
      <c r="T640" s="25">
        <v>45640</v>
      </c>
    </row>
    <row r="641" spans="1:20" x14ac:dyDescent="0.3">
      <c r="A641" s="13">
        <v>638</v>
      </c>
      <c r="B641" s="1" t="s">
        <v>690</v>
      </c>
      <c r="C641" s="39">
        <f t="shared" ca="1" si="46"/>
        <v>0</v>
      </c>
      <c r="D641" t="s">
        <v>284</v>
      </c>
      <c r="E641" t="s">
        <v>365</v>
      </c>
      <c r="F641" s="7" t="s">
        <v>78</v>
      </c>
      <c r="G641" s="6" t="s">
        <v>681</v>
      </c>
      <c r="H641" s="2" t="s">
        <v>681</v>
      </c>
      <c r="I641" s="1">
        <v>30</v>
      </c>
      <c r="J641" s="1">
        <v>10</v>
      </c>
      <c r="L641" s="45">
        <f t="shared" si="47"/>
        <v>45671</v>
      </c>
      <c r="M641" s="46">
        <f t="shared" si="52"/>
        <v>45671</v>
      </c>
      <c r="Q641" s="43">
        <f t="shared" si="48"/>
        <v>0</v>
      </c>
      <c r="R641" s="43">
        <f t="shared" ca="1" si="49"/>
        <v>0</v>
      </c>
      <c r="S641" s="22"/>
      <c r="T641" s="25">
        <v>45641</v>
      </c>
    </row>
    <row r="642" spans="1:20" x14ac:dyDescent="0.3">
      <c r="A642" s="13">
        <v>639</v>
      </c>
      <c r="B642" s="1" t="s">
        <v>690</v>
      </c>
      <c r="C642" s="39">
        <f t="shared" ca="1" si="46"/>
        <v>0</v>
      </c>
      <c r="D642" t="s">
        <v>284</v>
      </c>
      <c r="E642" t="s">
        <v>389</v>
      </c>
      <c r="F642" s="7" t="s">
        <v>78</v>
      </c>
      <c r="G642" s="6" t="s">
        <v>681</v>
      </c>
      <c r="H642" s="2" t="s">
        <v>681</v>
      </c>
      <c r="I642" s="1">
        <v>30</v>
      </c>
      <c r="J642" s="1">
        <v>10</v>
      </c>
      <c r="L642" s="45">
        <f t="shared" si="47"/>
        <v>45672</v>
      </c>
      <c r="M642" s="46">
        <f t="shared" si="52"/>
        <v>45672</v>
      </c>
      <c r="Q642" s="43">
        <f t="shared" si="48"/>
        <v>0</v>
      </c>
      <c r="R642" s="43">
        <f t="shared" ca="1" si="49"/>
        <v>0</v>
      </c>
      <c r="S642" s="22"/>
      <c r="T642" s="25">
        <v>45642</v>
      </c>
    </row>
    <row r="643" spans="1:20" x14ac:dyDescent="0.3">
      <c r="A643" s="13">
        <v>640</v>
      </c>
      <c r="B643" s="1" t="s">
        <v>690</v>
      </c>
      <c r="C643" s="39">
        <f t="shared" ca="1" si="46"/>
        <v>0</v>
      </c>
      <c r="D643" t="s">
        <v>284</v>
      </c>
      <c r="E643" t="s">
        <v>390</v>
      </c>
      <c r="F643" s="7" t="s">
        <v>78</v>
      </c>
      <c r="G643" s="6" t="s">
        <v>681</v>
      </c>
      <c r="H643" s="2" t="s">
        <v>681</v>
      </c>
      <c r="I643" s="1">
        <v>30</v>
      </c>
      <c r="J643" s="1">
        <v>10</v>
      </c>
      <c r="L643" s="45">
        <f t="shared" si="47"/>
        <v>45673</v>
      </c>
      <c r="M643" s="46">
        <f t="shared" si="52"/>
        <v>45673</v>
      </c>
      <c r="Q643" s="43">
        <f t="shared" si="48"/>
        <v>0</v>
      </c>
      <c r="R643" s="43">
        <f t="shared" ca="1" si="49"/>
        <v>0</v>
      </c>
      <c r="S643" s="22"/>
      <c r="T643" s="25">
        <v>45643</v>
      </c>
    </row>
    <row r="644" spans="1:20" x14ac:dyDescent="0.3">
      <c r="A644" s="13">
        <v>641</v>
      </c>
      <c r="B644" s="1" t="s">
        <v>690</v>
      </c>
      <c r="C644" s="39">
        <f t="shared" ca="1" si="46"/>
        <v>0</v>
      </c>
      <c r="D644" t="s">
        <v>284</v>
      </c>
      <c r="E644" t="s">
        <v>176</v>
      </c>
      <c r="F644" s="7" t="s">
        <v>78</v>
      </c>
      <c r="G644" s="6" t="s">
        <v>681</v>
      </c>
      <c r="H644" s="2" t="s">
        <v>681</v>
      </c>
      <c r="I644" s="1">
        <v>30</v>
      </c>
      <c r="J644" s="1">
        <v>10</v>
      </c>
      <c r="L644" s="45">
        <f t="shared" si="47"/>
        <v>45674</v>
      </c>
      <c r="M644" s="46">
        <f t="shared" si="52"/>
        <v>45674</v>
      </c>
      <c r="Q644" s="43">
        <f t="shared" si="48"/>
        <v>0</v>
      </c>
      <c r="R644" s="43">
        <f t="shared" ca="1" si="49"/>
        <v>0</v>
      </c>
      <c r="S644" s="22"/>
      <c r="T644" s="25">
        <v>45644</v>
      </c>
    </row>
    <row r="645" spans="1:20" x14ac:dyDescent="0.3">
      <c r="A645" s="13">
        <v>642</v>
      </c>
      <c r="B645" s="1" t="s">
        <v>690</v>
      </c>
      <c r="C645" s="39">
        <f t="shared" ref="C645:C708" ca="1" si="55">IF(L645&lt;=$A$2,1,0)</f>
        <v>0</v>
      </c>
      <c r="D645" t="s">
        <v>285</v>
      </c>
      <c r="E645" t="s">
        <v>188</v>
      </c>
      <c r="F645" s="7" t="s">
        <v>78</v>
      </c>
      <c r="G645" s="6" t="s">
        <v>681</v>
      </c>
      <c r="H645" s="2" t="s">
        <v>681</v>
      </c>
      <c r="I645" s="1">
        <v>30</v>
      </c>
      <c r="J645" s="1">
        <v>10</v>
      </c>
      <c r="L645" s="45">
        <f t="shared" ref="L645:L708" si="56">IF(N645="",M645,N645)</f>
        <v>45675</v>
      </c>
      <c r="M645" s="46">
        <f t="shared" si="52"/>
        <v>45675</v>
      </c>
      <c r="Q645" s="43">
        <f t="shared" si="48"/>
        <v>0</v>
      </c>
      <c r="R645" s="43">
        <f t="shared" ca="1" si="49"/>
        <v>0</v>
      </c>
      <c r="S645" s="22"/>
      <c r="T645" s="25">
        <v>45645</v>
      </c>
    </row>
    <row r="646" spans="1:20" x14ac:dyDescent="0.3">
      <c r="A646" s="13">
        <v>643</v>
      </c>
      <c r="B646" s="1" t="s">
        <v>690</v>
      </c>
      <c r="C646" s="39">
        <f t="shared" ca="1" si="55"/>
        <v>0</v>
      </c>
      <c r="D646" t="s">
        <v>285</v>
      </c>
      <c r="E646" t="s">
        <v>391</v>
      </c>
      <c r="F646" s="7" t="s">
        <v>78</v>
      </c>
      <c r="G646" s="6" t="s">
        <v>681</v>
      </c>
      <c r="H646" s="2" t="s">
        <v>681</v>
      </c>
      <c r="I646" s="1">
        <v>30</v>
      </c>
      <c r="J646" s="1">
        <v>10</v>
      </c>
      <c r="L646" s="45">
        <f t="shared" si="56"/>
        <v>45676</v>
      </c>
      <c r="M646" s="46">
        <f t="shared" si="52"/>
        <v>45676</v>
      </c>
      <c r="Q646" s="43">
        <f t="shared" si="48"/>
        <v>0</v>
      </c>
      <c r="R646" s="43">
        <f t="shared" ca="1" si="49"/>
        <v>0</v>
      </c>
      <c r="S646" s="22"/>
      <c r="T646" s="25">
        <v>45646</v>
      </c>
    </row>
    <row r="647" spans="1:20" x14ac:dyDescent="0.3">
      <c r="A647" s="13">
        <v>644</v>
      </c>
      <c r="B647" s="1" t="s">
        <v>690</v>
      </c>
      <c r="C647" s="39">
        <f t="shared" ca="1" si="55"/>
        <v>0</v>
      </c>
      <c r="D647" t="s">
        <v>285</v>
      </c>
      <c r="E647" t="s">
        <v>392</v>
      </c>
      <c r="F647" s="7" t="s">
        <v>78</v>
      </c>
      <c r="G647" s="6" t="s">
        <v>681</v>
      </c>
      <c r="H647" s="2" t="s">
        <v>681</v>
      </c>
      <c r="I647" s="1">
        <v>30</v>
      </c>
      <c r="J647" s="1">
        <v>10</v>
      </c>
      <c r="L647" s="45">
        <f t="shared" si="56"/>
        <v>45677</v>
      </c>
      <c r="M647" s="46">
        <f t="shared" si="52"/>
        <v>45677</v>
      </c>
      <c r="Q647" s="43">
        <f t="shared" si="48"/>
        <v>0</v>
      </c>
      <c r="R647" s="43">
        <f t="shared" ca="1" si="49"/>
        <v>0</v>
      </c>
      <c r="S647" s="22"/>
      <c r="T647" s="25">
        <v>45647</v>
      </c>
    </row>
    <row r="648" spans="1:20" x14ac:dyDescent="0.3">
      <c r="A648" s="13">
        <v>645</v>
      </c>
      <c r="B648" s="1" t="s">
        <v>690</v>
      </c>
      <c r="C648" s="39">
        <f t="shared" ca="1" si="55"/>
        <v>0</v>
      </c>
      <c r="D648" t="s">
        <v>285</v>
      </c>
      <c r="E648" t="s">
        <v>393</v>
      </c>
      <c r="F648" s="7" t="s">
        <v>78</v>
      </c>
      <c r="G648" s="6" t="s">
        <v>681</v>
      </c>
      <c r="H648" s="2" t="s">
        <v>681</v>
      </c>
      <c r="I648" s="1">
        <v>30</v>
      </c>
      <c r="J648" s="1">
        <v>10</v>
      </c>
      <c r="L648" s="45">
        <f t="shared" si="56"/>
        <v>45678</v>
      </c>
      <c r="M648" s="46">
        <f t="shared" si="52"/>
        <v>45678</v>
      </c>
      <c r="Q648" s="43">
        <f t="shared" si="48"/>
        <v>0</v>
      </c>
      <c r="R648" s="43">
        <f t="shared" ca="1" si="49"/>
        <v>0</v>
      </c>
      <c r="S648" s="22"/>
      <c r="T648" s="25">
        <v>45648</v>
      </c>
    </row>
    <row r="649" spans="1:20" x14ac:dyDescent="0.3">
      <c r="A649" s="13">
        <v>646</v>
      </c>
      <c r="B649" s="1" t="s">
        <v>690</v>
      </c>
      <c r="C649" s="39">
        <f t="shared" ca="1" si="55"/>
        <v>0</v>
      </c>
      <c r="D649" t="s">
        <v>285</v>
      </c>
      <c r="E649" t="s">
        <v>394</v>
      </c>
      <c r="F649" s="7" t="s">
        <v>78</v>
      </c>
      <c r="G649" s="6" t="s">
        <v>681</v>
      </c>
      <c r="H649" s="2" t="s">
        <v>681</v>
      </c>
      <c r="I649" s="1">
        <v>30</v>
      </c>
      <c r="J649" s="1">
        <v>10</v>
      </c>
      <c r="L649" s="45">
        <f t="shared" si="56"/>
        <v>45679</v>
      </c>
      <c r="M649" s="46">
        <f t="shared" si="52"/>
        <v>45679</v>
      </c>
      <c r="Q649" s="43">
        <f t="shared" si="48"/>
        <v>0</v>
      </c>
      <c r="R649" s="43">
        <f t="shared" ca="1" si="49"/>
        <v>0</v>
      </c>
      <c r="S649" s="22"/>
      <c r="T649" s="25">
        <v>45649</v>
      </c>
    </row>
    <row r="650" spans="1:20" x14ac:dyDescent="0.3">
      <c r="A650" s="13">
        <v>647</v>
      </c>
      <c r="B650" s="1" t="s">
        <v>690</v>
      </c>
      <c r="C650" s="39">
        <f t="shared" ca="1" si="55"/>
        <v>0</v>
      </c>
      <c r="D650" t="s">
        <v>285</v>
      </c>
      <c r="E650" t="s">
        <v>365</v>
      </c>
      <c r="F650" s="7" t="s">
        <v>78</v>
      </c>
      <c r="G650" s="6" t="s">
        <v>681</v>
      </c>
      <c r="H650" s="2" t="s">
        <v>681</v>
      </c>
      <c r="I650" s="1">
        <v>30</v>
      </c>
      <c r="J650" s="1">
        <v>10</v>
      </c>
      <c r="L650" s="45">
        <f t="shared" si="56"/>
        <v>45680</v>
      </c>
      <c r="M650" s="46">
        <f t="shared" si="52"/>
        <v>45680</v>
      </c>
      <c r="Q650" s="43">
        <f t="shared" si="48"/>
        <v>0</v>
      </c>
      <c r="R650" s="43">
        <f t="shared" ca="1" si="49"/>
        <v>0</v>
      </c>
      <c r="S650" s="22"/>
      <c r="T650" s="25">
        <v>45650</v>
      </c>
    </row>
    <row r="651" spans="1:20" x14ac:dyDescent="0.3">
      <c r="A651" s="13">
        <v>648</v>
      </c>
      <c r="B651" s="1" t="s">
        <v>690</v>
      </c>
      <c r="C651" s="39">
        <f t="shared" ca="1" si="55"/>
        <v>0</v>
      </c>
      <c r="D651" t="s">
        <v>285</v>
      </c>
      <c r="E651" t="s">
        <v>395</v>
      </c>
      <c r="F651" s="7" t="s">
        <v>78</v>
      </c>
      <c r="G651" s="6" t="s">
        <v>681</v>
      </c>
      <c r="H651" s="2" t="s">
        <v>681</v>
      </c>
      <c r="I651" s="1">
        <v>30</v>
      </c>
      <c r="J651" s="1">
        <v>10</v>
      </c>
      <c r="L651" s="45">
        <f t="shared" si="56"/>
        <v>45681</v>
      </c>
      <c r="M651" s="46">
        <f t="shared" si="52"/>
        <v>45681</v>
      </c>
      <c r="Q651" s="43">
        <f t="shared" si="48"/>
        <v>0</v>
      </c>
      <c r="R651" s="43">
        <f t="shared" ca="1" si="49"/>
        <v>0</v>
      </c>
      <c r="S651" s="22"/>
      <c r="T651" s="25">
        <v>45651</v>
      </c>
    </row>
    <row r="652" spans="1:20" x14ac:dyDescent="0.3">
      <c r="A652" s="13">
        <v>649</v>
      </c>
      <c r="B652" s="1" t="s">
        <v>690</v>
      </c>
      <c r="C652" s="39">
        <f t="shared" ca="1" si="55"/>
        <v>0</v>
      </c>
      <c r="D652" t="s">
        <v>285</v>
      </c>
      <c r="E652" t="s">
        <v>143</v>
      </c>
      <c r="F652" s="7" t="s">
        <v>78</v>
      </c>
      <c r="G652" s="6" t="s">
        <v>681</v>
      </c>
      <c r="H652" s="2" t="s">
        <v>681</v>
      </c>
      <c r="I652" s="1">
        <v>30</v>
      </c>
      <c r="J652" s="1">
        <v>10</v>
      </c>
      <c r="L652" s="45">
        <f t="shared" si="56"/>
        <v>45682</v>
      </c>
      <c r="M652" s="46">
        <f t="shared" si="52"/>
        <v>45682</v>
      </c>
      <c r="Q652" s="43">
        <f t="shared" si="48"/>
        <v>0</v>
      </c>
      <c r="R652" s="43">
        <f t="shared" ca="1" si="49"/>
        <v>0</v>
      </c>
      <c r="S652" s="22"/>
      <c r="T652" s="25">
        <v>45652</v>
      </c>
    </row>
    <row r="653" spans="1:20" x14ac:dyDescent="0.3">
      <c r="A653" s="13">
        <v>650</v>
      </c>
      <c r="B653" s="1" t="s">
        <v>688</v>
      </c>
      <c r="C653" s="39">
        <f t="shared" ca="1" si="55"/>
        <v>0</v>
      </c>
      <c r="D653" t="s">
        <v>284</v>
      </c>
      <c r="E653" t="s">
        <v>388</v>
      </c>
      <c r="F653" s="7" t="s">
        <v>78</v>
      </c>
      <c r="G653" s="6" t="s">
        <v>681</v>
      </c>
      <c r="H653" s="2" t="s">
        <v>681</v>
      </c>
      <c r="I653" s="1">
        <v>30</v>
      </c>
      <c r="J653" s="1">
        <v>10</v>
      </c>
      <c r="L653" s="45">
        <f t="shared" si="56"/>
        <v>45683</v>
      </c>
      <c r="M653" s="46">
        <f t="shared" si="52"/>
        <v>45683</v>
      </c>
      <c r="Q653" s="43">
        <f t="shared" si="48"/>
        <v>0</v>
      </c>
      <c r="R653" s="43">
        <f t="shared" ca="1" si="49"/>
        <v>0</v>
      </c>
      <c r="S653" s="22"/>
      <c r="T653" s="25">
        <v>45653</v>
      </c>
    </row>
    <row r="654" spans="1:20" x14ac:dyDescent="0.3">
      <c r="A654" s="13">
        <v>651</v>
      </c>
      <c r="B654" s="1" t="s">
        <v>688</v>
      </c>
      <c r="C654" s="39">
        <f t="shared" ca="1" si="55"/>
        <v>0</v>
      </c>
      <c r="D654" t="s">
        <v>284</v>
      </c>
      <c r="E654" t="s">
        <v>187</v>
      </c>
      <c r="F654" s="7" t="s">
        <v>78</v>
      </c>
      <c r="G654" s="6" t="s">
        <v>681</v>
      </c>
      <c r="H654" s="2" t="s">
        <v>681</v>
      </c>
      <c r="I654" s="1">
        <v>30</v>
      </c>
      <c r="J654" s="1">
        <v>10</v>
      </c>
      <c r="L654" s="45">
        <f t="shared" si="56"/>
        <v>45684</v>
      </c>
      <c r="M654" s="46">
        <f t="shared" si="52"/>
        <v>45684</v>
      </c>
      <c r="Q654" s="43">
        <f t="shared" si="48"/>
        <v>0</v>
      </c>
      <c r="R654" s="43">
        <f t="shared" ca="1" si="49"/>
        <v>0</v>
      </c>
      <c r="S654" s="22"/>
      <c r="T654" s="25">
        <v>45654</v>
      </c>
    </row>
    <row r="655" spans="1:20" x14ac:dyDescent="0.3">
      <c r="A655" s="13">
        <v>652</v>
      </c>
      <c r="B655" s="1" t="s">
        <v>688</v>
      </c>
      <c r="C655" s="39">
        <f t="shared" ca="1" si="55"/>
        <v>0</v>
      </c>
      <c r="D655" t="s">
        <v>284</v>
      </c>
      <c r="E655" t="s">
        <v>365</v>
      </c>
      <c r="F655" s="7" t="s">
        <v>78</v>
      </c>
      <c r="G655" s="6" t="s">
        <v>681</v>
      </c>
      <c r="H655" s="2" t="s">
        <v>681</v>
      </c>
      <c r="I655" s="1">
        <v>30</v>
      </c>
      <c r="J655" s="1">
        <v>10</v>
      </c>
      <c r="L655" s="45">
        <f t="shared" si="56"/>
        <v>45685</v>
      </c>
      <c r="M655" s="46">
        <f t="shared" si="52"/>
        <v>45685</v>
      </c>
      <c r="Q655" s="43">
        <f t="shared" si="48"/>
        <v>0</v>
      </c>
      <c r="R655" s="43">
        <f t="shared" ca="1" si="49"/>
        <v>0</v>
      </c>
      <c r="S655" s="22"/>
      <c r="T655" s="25">
        <v>45655</v>
      </c>
    </row>
    <row r="656" spans="1:20" x14ac:dyDescent="0.3">
      <c r="A656" s="13">
        <v>653</v>
      </c>
      <c r="B656" s="1" t="s">
        <v>688</v>
      </c>
      <c r="C656" s="39">
        <f t="shared" ca="1" si="55"/>
        <v>0</v>
      </c>
      <c r="D656" t="s">
        <v>284</v>
      </c>
      <c r="E656" t="s">
        <v>389</v>
      </c>
      <c r="F656" s="7" t="s">
        <v>78</v>
      </c>
      <c r="G656" s="6" t="s">
        <v>681</v>
      </c>
      <c r="H656" s="2" t="s">
        <v>681</v>
      </c>
      <c r="I656" s="1">
        <v>30</v>
      </c>
      <c r="J656" s="1">
        <v>10</v>
      </c>
      <c r="L656" s="45">
        <f t="shared" si="56"/>
        <v>45686</v>
      </c>
      <c r="M656" s="46">
        <f t="shared" si="52"/>
        <v>45686</v>
      </c>
      <c r="Q656" s="43">
        <f t="shared" si="48"/>
        <v>0</v>
      </c>
      <c r="R656" s="43">
        <f t="shared" ca="1" si="49"/>
        <v>0</v>
      </c>
      <c r="S656" s="22"/>
      <c r="T656" s="25">
        <v>45656</v>
      </c>
    </row>
    <row r="657" spans="1:20" x14ac:dyDescent="0.3">
      <c r="A657" s="13">
        <v>654</v>
      </c>
      <c r="B657" s="1" t="s">
        <v>688</v>
      </c>
      <c r="C657" s="39">
        <f t="shared" ca="1" si="55"/>
        <v>0</v>
      </c>
      <c r="D657" t="s">
        <v>284</v>
      </c>
      <c r="E657" t="s">
        <v>390</v>
      </c>
      <c r="F657" s="7" t="s">
        <v>78</v>
      </c>
      <c r="G657" s="6" t="s">
        <v>681</v>
      </c>
      <c r="H657" s="2" t="s">
        <v>681</v>
      </c>
      <c r="I657" s="1">
        <v>30</v>
      </c>
      <c r="J657" s="1">
        <v>10</v>
      </c>
      <c r="L657" s="45">
        <f t="shared" si="56"/>
        <v>45687</v>
      </c>
      <c r="M657" s="46">
        <f t="shared" si="52"/>
        <v>45687</v>
      </c>
      <c r="Q657" s="43">
        <f t="shared" si="48"/>
        <v>0</v>
      </c>
      <c r="R657" s="43">
        <f t="shared" ca="1" si="49"/>
        <v>0</v>
      </c>
      <c r="S657" s="22"/>
      <c r="T657" s="25">
        <v>45657</v>
      </c>
    </row>
    <row r="658" spans="1:20" x14ac:dyDescent="0.3">
      <c r="A658" s="13">
        <v>655</v>
      </c>
      <c r="B658" s="1" t="s">
        <v>688</v>
      </c>
      <c r="C658" s="39">
        <f t="shared" ca="1" si="55"/>
        <v>0</v>
      </c>
      <c r="D658" t="s">
        <v>284</v>
      </c>
      <c r="E658" t="s">
        <v>176</v>
      </c>
      <c r="F658" s="7" t="s">
        <v>78</v>
      </c>
      <c r="G658" s="6" t="s">
        <v>681</v>
      </c>
      <c r="H658" s="2" t="s">
        <v>681</v>
      </c>
      <c r="I658" s="1">
        <v>30</v>
      </c>
      <c r="J658" s="1">
        <v>10</v>
      </c>
      <c r="L658" s="45">
        <f t="shared" si="56"/>
        <v>45688</v>
      </c>
      <c r="M658" s="46">
        <f t="shared" si="52"/>
        <v>45688</v>
      </c>
      <c r="Q658" s="43">
        <f t="shared" si="48"/>
        <v>0</v>
      </c>
      <c r="R658" s="43">
        <f t="shared" ca="1" si="49"/>
        <v>0</v>
      </c>
      <c r="S658" s="22"/>
      <c r="T658" s="25">
        <v>45658</v>
      </c>
    </row>
    <row r="659" spans="1:20" x14ac:dyDescent="0.3">
      <c r="A659" s="13">
        <v>656</v>
      </c>
      <c r="B659" s="1" t="s">
        <v>688</v>
      </c>
      <c r="C659" s="39">
        <f t="shared" ca="1" si="55"/>
        <v>0</v>
      </c>
      <c r="D659" t="s">
        <v>285</v>
      </c>
      <c r="E659" t="s">
        <v>188</v>
      </c>
      <c r="F659" s="7" t="s">
        <v>78</v>
      </c>
      <c r="G659" s="6" t="s">
        <v>681</v>
      </c>
      <c r="H659" s="2" t="s">
        <v>681</v>
      </c>
      <c r="I659" s="1">
        <v>30</v>
      </c>
      <c r="J659" s="1">
        <v>10</v>
      </c>
      <c r="L659" s="45">
        <f t="shared" si="56"/>
        <v>45689</v>
      </c>
      <c r="M659" s="46">
        <f t="shared" si="52"/>
        <v>45689</v>
      </c>
      <c r="Q659" s="43">
        <f t="shared" si="48"/>
        <v>0</v>
      </c>
      <c r="R659" s="43">
        <f t="shared" ca="1" si="49"/>
        <v>0</v>
      </c>
      <c r="S659" s="22"/>
      <c r="T659" s="25">
        <v>45659</v>
      </c>
    </row>
    <row r="660" spans="1:20" x14ac:dyDescent="0.3">
      <c r="A660" s="13">
        <v>657</v>
      </c>
      <c r="B660" s="1" t="s">
        <v>688</v>
      </c>
      <c r="C660" s="39">
        <f t="shared" ca="1" si="55"/>
        <v>0</v>
      </c>
      <c r="D660" t="s">
        <v>285</v>
      </c>
      <c r="E660" t="s">
        <v>391</v>
      </c>
      <c r="F660" s="7" t="s">
        <v>78</v>
      </c>
      <c r="G660" s="6" t="s">
        <v>681</v>
      </c>
      <c r="H660" s="2" t="s">
        <v>681</v>
      </c>
      <c r="I660" s="1">
        <v>30</v>
      </c>
      <c r="J660" s="1">
        <v>10</v>
      </c>
      <c r="L660" s="45">
        <f t="shared" si="56"/>
        <v>45690</v>
      </c>
      <c r="M660" s="46">
        <f t="shared" si="52"/>
        <v>45690</v>
      </c>
      <c r="Q660" s="43">
        <f t="shared" si="48"/>
        <v>0</v>
      </c>
      <c r="R660" s="43">
        <f t="shared" ca="1" si="49"/>
        <v>0</v>
      </c>
      <c r="S660" s="22"/>
      <c r="T660" s="25">
        <v>45660</v>
      </c>
    </row>
    <row r="661" spans="1:20" x14ac:dyDescent="0.3">
      <c r="A661" s="13">
        <v>658</v>
      </c>
      <c r="B661" s="1" t="s">
        <v>688</v>
      </c>
      <c r="C661" s="39">
        <f t="shared" ca="1" si="55"/>
        <v>0</v>
      </c>
      <c r="D661" t="s">
        <v>285</v>
      </c>
      <c r="E661" t="s">
        <v>392</v>
      </c>
      <c r="F661" s="7" t="s">
        <v>78</v>
      </c>
      <c r="G661" s="6" t="s">
        <v>681</v>
      </c>
      <c r="H661" s="2" t="s">
        <v>681</v>
      </c>
      <c r="I661" s="1">
        <v>30</v>
      </c>
      <c r="J661" s="1">
        <v>10</v>
      </c>
      <c r="L661" s="45">
        <f t="shared" si="56"/>
        <v>45691</v>
      </c>
      <c r="M661" s="46">
        <f t="shared" si="52"/>
        <v>45691</v>
      </c>
      <c r="Q661" s="43">
        <f t="shared" si="48"/>
        <v>0</v>
      </c>
      <c r="R661" s="43">
        <f t="shared" ca="1" si="49"/>
        <v>0</v>
      </c>
      <c r="S661" s="22"/>
      <c r="T661" s="25">
        <v>45661</v>
      </c>
    </row>
    <row r="662" spans="1:20" x14ac:dyDescent="0.3">
      <c r="A662" s="13">
        <v>659</v>
      </c>
      <c r="B662" s="1" t="s">
        <v>688</v>
      </c>
      <c r="C662" s="39">
        <f t="shared" ca="1" si="55"/>
        <v>0</v>
      </c>
      <c r="D662" t="s">
        <v>285</v>
      </c>
      <c r="E662" t="s">
        <v>393</v>
      </c>
      <c r="F662" s="7" t="s">
        <v>78</v>
      </c>
      <c r="G662" s="6" t="s">
        <v>681</v>
      </c>
      <c r="H662" s="2" t="s">
        <v>681</v>
      </c>
      <c r="I662" s="1">
        <v>30</v>
      </c>
      <c r="J662" s="1">
        <v>10</v>
      </c>
      <c r="L662" s="45">
        <f t="shared" si="56"/>
        <v>45692</v>
      </c>
      <c r="M662" s="46">
        <f t="shared" si="52"/>
        <v>45692</v>
      </c>
      <c r="Q662" s="43">
        <f t="shared" si="48"/>
        <v>0</v>
      </c>
      <c r="R662" s="43">
        <f t="shared" ca="1" si="49"/>
        <v>0</v>
      </c>
      <c r="S662" s="22"/>
      <c r="T662" s="25">
        <v>45662</v>
      </c>
    </row>
    <row r="663" spans="1:20" x14ac:dyDescent="0.3">
      <c r="A663" s="13">
        <v>660</v>
      </c>
      <c r="B663" s="1" t="s">
        <v>688</v>
      </c>
      <c r="C663" s="39">
        <f t="shared" ca="1" si="55"/>
        <v>0</v>
      </c>
      <c r="D663" t="s">
        <v>285</v>
      </c>
      <c r="E663" t="s">
        <v>394</v>
      </c>
      <c r="F663" s="7" t="s">
        <v>78</v>
      </c>
      <c r="G663" s="6" t="s">
        <v>681</v>
      </c>
      <c r="H663" s="2" t="s">
        <v>681</v>
      </c>
      <c r="I663" s="1">
        <v>30</v>
      </c>
      <c r="J663" s="1">
        <v>10</v>
      </c>
      <c r="L663" s="45">
        <f t="shared" si="56"/>
        <v>45693</v>
      </c>
      <c r="M663" s="46">
        <f t="shared" si="52"/>
        <v>45693</v>
      </c>
      <c r="Q663" s="43">
        <f t="shared" si="48"/>
        <v>0</v>
      </c>
      <c r="R663" s="43">
        <f t="shared" ca="1" si="49"/>
        <v>0</v>
      </c>
      <c r="S663" s="22"/>
      <c r="T663" s="25">
        <v>45663</v>
      </c>
    </row>
    <row r="664" spans="1:20" x14ac:dyDescent="0.3">
      <c r="A664" s="13">
        <v>661</v>
      </c>
      <c r="B664" s="1" t="s">
        <v>688</v>
      </c>
      <c r="C664" s="39">
        <f t="shared" ca="1" si="55"/>
        <v>0</v>
      </c>
      <c r="D664" t="s">
        <v>285</v>
      </c>
      <c r="E664" t="s">
        <v>365</v>
      </c>
      <c r="F664" s="7" t="s">
        <v>78</v>
      </c>
      <c r="G664" s="6" t="s">
        <v>681</v>
      </c>
      <c r="H664" s="2" t="s">
        <v>681</v>
      </c>
      <c r="I664" s="1">
        <v>30</v>
      </c>
      <c r="J664" s="1">
        <v>10</v>
      </c>
      <c r="L664" s="45">
        <f t="shared" si="56"/>
        <v>45694</v>
      </c>
      <c r="M664" s="46">
        <f t="shared" si="52"/>
        <v>45694</v>
      </c>
      <c r="Q664" s="43">
        <f t="shared" si="48"/>
        <v>0</v>
      </c>
      <c r="R664" s="43">
        <f t="shared" ca="1" si="49"/>
        <v>0</v>
      </c>
      <c r="S664" s="22"/>
      <c r="T664" s="25">
        <v>45664</v>
      </c>
    </row>
    <row r="665" spans="1:20" x14ac:dyDescent="0.3">
      <c r="A665" s="13">
        <v>662</v>
      </c>
      <c r="B665" s="1" t="s">
        <v>688</v>
      </c>
      <c r="C665" s="39">
        <f t="shared" ca="1" si="55"/>
        <v>0</v>
      </c>
      <c r="D665" t="s">
        <v>285</v>
      </c>
      <c r="E665" t="s">
        <v>395</v>
      </c>
      <c r="F665" s="7" t="s">
        <v>78</v>
      </c>
      <c r="G665" s="6" t="s">
        <v>681</v>
      </c>
      <c r="H665" s="2" t="s">
        <v>681</v>
      </c>
      <c r="I665" s="1">
        <v>30</v>
      </c>
      <c r="J665" s="1">
        <v>10</v>
      </c>
      <c r="L665" s="45">
        <f t="shared" si="56"/>
        <v>45695</v>
      </c>
      <c r="M665" s="46">
        <f t="shared" si="52"/>
        <v>45695</v>
      </c>
      <c r="Q665" s="43">
        <f t="shared" si="48"/>
        <v>0</v>
      </c>
      <c r="R665" s="43">
        <f t="shared" ca="1" si="49"/>
        <v>0</v>
      </c>
      <c r="S665" s="22"/>
      <c r="T665" s="25">
        <v>45665</v>
      </c>
    </row>
    <row r="666" spans="1:20" x14ac:dyDescent="0.3">
      <c r="A666" s="13">
        <v>663</v>
      </c>
      <c r="B666" s="1" t="s">
        <v>688</v>
      </c>
      <c r="C666" s="39">
        <f t="shared" ca="1" si="55"/>
        <v>0</v>
      </c>
      <c r="D666" t="s">
        <v>285</v>
      </c>
      <c r="E666" t="s">
        <v>143</v>
      </c>
      <c r="F666" s="7" t="s">
        <v>78</v>
      </c>
      <c r="G666" s="6" t="s">
        <v>681</v>
      </c>
      <c r="H666" s="2" t="s">
        <v>681</v>
      </c>
      <c r="I666" s="1">
        <v>30</v>
      </c>
      <c r="J666" s="1">
        <v>10</v>
      </c>
      <c r="L666" s="45">
        <f t="shared" si="56"/>
        <v>45696</v>
      </c>
      <c r="M666" s="46">
        <f t="shared" si="52"/>
        <v>45696</v>
      </c>
      <c r="Q666" s="43">
        <f t="shared" si="48"/>
        <v>0</v>
      </c>
      <c r="R666" s="43">
        <f t="shared" ca="1" si="49"/>
        <v>0</v>
      </c>
      <c r="S666" s="22"/>
      <c r="T666" s="25">
        <v>45666</v>
      </c>
    </row>
    <row r="667" spans="1:20" x14ac:dyDescent="0.3">
      <c r="A667" s="13">
        <v>664</v>
      </c>
      <c r="B667" s="1" t="s">
        <v>694</v>
      </c>
      <c r="C667" s="39">
        <f t="shared" ca="1" si="55"/>
        <v>0</v>
      </c>
      <c r="D667" t="s">
        <v>284</v>
      </c>
      <c r="E667" t="s">
        <v>388</v>
      </c>
      <c r="F667" s="7" t="s">
        <v>78</v>
      </c>
      <c r="G667" s="6" t="s">
        <v>681</v>
      </c>
      <c r="H667" s="2" t="s">
        <v>681</v>
      </c>
      <c r="I667" s="1">
        <v>30</v>
      </c>
      <c r="J667" s="1">
        <v>10</v>
      </c>
      <c r="L667" s="45">
        <f t="shared" si="56"/>
        <v>45697</v>
      </c>
      <c r="M667" s="46">
        <f t="shared" si="52"/>
        <v>45697</v>
      </c>
      <c r="Q667" s="43">
        <f t="shared" si="48"/>
        <v>0</v>
      </c>
      <c r="R667" s="43">
        <f t="shared" ca="1" si="49"/>
        <v>0</v>
      </c>
      <c r="S667" s="22"/>
      <c r="T667" s="25">
        <v>45667</v>
      </c>
    </row>
    <row r="668" spans="1:20" x14ac:dyDescent="0.3">
      <c r="A668" s="13">
        <v>665</v>
      </c>
      <c r="B668" s="1" t="s">
        <v>694</v>
      </c>
      <c r="C668" s="39">
        <f t="shared" ca="1" si="55"/>
        <v>0</v>
      </c>
      <c r="D668" t="s">
        <v>284</v>
      </c>
      <c r="E668" t="s">
        <v>187</v>
      </c>
      <c r="F668" s="7" t="s">
        <v>78</v>
      </c>
      <c r="G668" s="6" t="s">
        <v>681</v>
      </c>
      <c r="H668" s="2" t="s">
        <v>681</v>
      </c>
      <c r="I668" s="1">
        <v>30</v>
      </c>
      <c r="J668" s="1">
        <v>10</v>
      </c>
      <c r="L668" s="45">
        <f t="shared" si="56"/>
        <v>45698</v>
      </c>
      <c r="M668" s="46">
        <f t="shared" si="52"/>
        <v>45698</v>
      </c>
      <c r="Q668" s="43">
        <f t="shared" si="48"/>
        <v>0</v>
      </c>
      <c r="R668" s="43">
        <f t="shared" ca="1" si="49"/>
        <v>0</v>
      </c>
      <c r="S668" s="22"/>
      <c r="T668" s="25">
        <v>45668</v>
      </c>
    </row>
    <row r="669" spans="1:20" x14ac:dyDescent="0.3">
      <c r="A669" s="13">
        <v>666</v>
      </c>
      <c r="B669" s="1" t="s">
        <v>694</v>
      </c>
      <c r="C669" s="39">
        <f t="shared" ca="1" si="55"/>
        <v>0</v>
      </c>
      <c r="D669" t="s">
        <v>284</v>
      </c>
      <c r="E669" t="s">
        <v>365</v>
      </c>
      <c r="F669" s="7" t="s">
        <v>78</v>
      </c>
      <c r="G669" s="6" t="s">
        <v>681</v>
      </c>
      <c r="H669" s="2" t="s">
        <v>681</v>
      </c>
      <c r="I669" s="1">
        <v>30</v>
      </c>
      <c r="J669" s="1">
        <v>10</v>
      </c>
      <c r="L669" s="45">
        <f t="shared" si="56"/>
        <v>45699</v>
      </c>
      <c r="M669" s="46">
        <f t="shared" si="52"/>
        <v>45699</v>
      </c>
      <c r="Q669" s="43">
        <f t="shared" si="48"/>
        <v>0</v>
      </c>
      <c r="R669" s="43">
        <f t="shared" ca="1" si="49"/>
        <v>0</v>
      </c>
      <c r="S669" s="22"/>
      <c r="T669" s="25">
        <v>45669</v>
      </c>
    </row>
    <row r="670" spans="1:20" x14ac:dyDescent="0.3">
      <c r="A670" s="13">
        <v>667</v>
      </c>
      <c r="B670" s="1" t="s">
        <v>694</v>
      </c>
      <c r="C670" s="39">
        <f t="shared" ca="1" si="55"/>
        <v>0</v>
      </c>
      <c r="D670" t="s">
        <v>284</v>
      </c>
      <c r="E670" t="s">
        <v>389</v>
      </c>
      <c r="F670" s="7" t="s">
        <v>78</v>
      </c>
      <c r="G670" s="6" t="s">
        <v>681</v>
      </c>
      <c r="H670" s="2" t="s">
        <v>681</v>
      </c>
      <c r="I670" s="1">
        <v>30</v>
      </c>
      <c r="J670" s="1">
        <v>10</v>
      </c>
      <c r="L670" s="45">
        <f t="shared" si="56"/>
        <v>45700</v>
      </c>
      <c r="M670" s="46">
        <f t="shared" si="52"/>
        <v>45700</v>
      </c>
      <c r="Q670" s="43">
        <f t="shared" si="48"/>
        <v>0</v>
      </c>
      <c r="R670" s="43">
        <f t="shared" ca="1" si="49"/>
        <v>0</v>
      </c>
      <c r="S670" s="22"/>
      <c r="T670" s="25">
        <v>45670</v>
      </c>
    </row>
    <row r="671" spans="1:20" x14ac:dyDescent="0.3">
      <c r="A671" s="13">
        <v>668</v>
      </c>
      <c r="B671" s="1" t="s">
        <v>694</v>
      </c>
      <c r="C671" s="39">
        <f t="shared" ca="1" si="55"/>
        <v>0</v>
      </c>
      <c r="D671" t="s">
        <v>284</v>
      </c>
      <c r="E671" t="s">
        <v>390</v>
      </c>
      <c r="F671" s="7" t="s">
        <v>78</v>
      </c>
      <c r="G671" s="6" t="s">
        <v>681</v>
      </c>
      <c r="H671" s="2" t="s">
        <v>681</v>
      </c>
      <c r="I671" s="1">
        <v>30</v>
      </c>
      <c r="J671" s="1">
        <v>10</v>
      </c>
      <c r="L671" s="45">
        <f t="shared" si="56"/>
        <v>45701</v>
      </c>
      <c r="M671" s="46">
        <f t="shared" si="52"/>
        <v>45701</v>
      </c>
      <c r="Q671" s="43">
        <f t="shared" si="48"/>
        <v>0</v>
      </c>
      <c r="R671" s="43">
        <f t="shared" ca="1" si="49"/>
        <v>0</v>
      </c>
      <c r="S671" s="22"/>
      <c r="T671" s="25">
        <v>45671</v>
      </c>
    </row>
    <row r="672" spans="1:20" x14ac:dyDescent="0.3">
      <c r="A672" s="13">
        <v>669</v>
      </c>
      <c r="B672" s="1" t="s">
        <v>694</v>
      </c>
      <c r="C672" s="39">
        <f t="shared" ca="1" si="55"/>
        <v>0</v>
      </c>
      <c r="D672" t="s">
        <v>284</v>
      </c>
      <c r="E672" t="s">
        <v>176</v>
      </c>
      <c r="F672" s="7" t="s">
        <v>78</v>
      </c>
      <c r="G672" s="6" t="s">
        <v>681</v>
      </c>
      <c r="H672" s="2" t="s">
        <v>681</v>
      </c>
      <c r="I672" s="1">
        <v>30</v>
      </c>
      <c r="J672" s="1">
        <v>10</v>
      </c>
      <c r="L672" s="45">
        <f t="shared" si="56"/>
        <v>45702</v>
      </c>
      <c r="M672" s="46">
        <f t="shared" si="52"/>
        <v>45702</v>
      </c>
      <c r="Q672" s="43">
        <f t="shared" si="48"/>
        <v>0</v>
      </c>
      <c r="R672" s="43">
        <f t="shared" ca="1" si="49"/>
        <v>0</v>
      </c>
      <c r="S672" s="22"/>
      <c r="T672" s="25">
        <v>45672</v>
      </c>
    </row>
    <row r="673" spans="1:20" x14ac:dyDescent="0.3">
      <c r="A673" s="13">
        <v>670</v>
      </c>
      <c r="B673" s="1" t="s">
        <v>694</v>
      </c>
      <c r="C673" s="39">
        <f t="shared" ca="1" si="55"/>
        <v>0</v>
      </c>
      <c r="D673" t="s">
        <v>285</v>
      </c>
      <c r="E673" t="s">
        <v>188</v>
      </c>
      <c r="F673" s="7" t="s">
        <v>78</v>
      </c>
      <c r="G673" s="6" t="s">
        <v>681</v>
      </c>
      <c r="H673" s="2" t="s">
        <v>681</v>
      </c>
      <c r="I673" s="1">
        <v>30</v>
      </c>
      <c r="J673" s="1">
        <v>10</v>
      </c>
      <c r="L673" s="45">
        <f t="shared" si="56"/>
        <v>45703</v>
      </c>
      <c r="M673" s="46">
        <f t="shared" ref="M673:M736" si="57">T673+I673</f>
        <v>45703</v>
      </c>
      <c r="Q673" s="43">
        <f t="shared" ref="Q673:Q736" si="58">IF(O673&lt;&gt;0,1,0)</f>
        <v>0</v>
      </c>
      <c r="R673" s="43">
        <f t="shared" ref="R673:R736" ca="1" si="59">IF(AND(L673&lt;($A$2+7), L673&gt;($A$2+6)),1,0)</f>
        <v>0</v>
      </c>
      <c r="S673" s="22"/>
      <c r="T673" s="25">
        <v>45673</v>
      </c>
    </row>
    <row r="674" spans="1:20" x14ac:dyDescent="0.3">
      <c r="A674" s="13">
        <v>671</v>
      </c>
      <c r="B674" s="1" t="s">
        <v>694</v>
      </c>
      <c r="C674" s="39">
        <f t="shared" ca="1" si="55"/>
        <v>0</v>
      </c>
      <c r="D674" t="s">
        <v>285</v>
      </c>
      <c r="E674" t="s">
        <v>391</v>
      </c>
      <c r="F674" s="7" t="s">
        <v>78</v>
      </c>
      <c r="G674" s="6" t="s">
        <v>681</v>
      </c>
      <c r="H674" s="2" t="s">
        <v>681</v>
      </c>
      <c r="I674" s="1">
        <v>30</v>
      </c>
      <c r="J674" s="1">
        <v>10</v>
      </c>
      <c r="L674" s="45">
        <f t="shared" si="56"/>
        <v>45704</v>
      </c>
      <c r="M674" s="46">
        <f t="shared" si="57"/>
        <v>45704</v>
      </c>
      <c r="Q674" s="43">
        <f t="shared" si="58"/>
        <v>0</v>
      </c>
      <c r="R674" s="43">
        <f t="shared" ca="1" si="59"/>
        <v>0</v>
      </c>
      <c r="S674" s="22"/>
      <c r="T674" s="25">
        <v>45674</v>
      </c>
    </row>
    <row r="675" spans="1:20" x14ac:dyDescent="0.3">
      <c r="A675" s="13">
        <v>672</v>
      </c>
      <c r="B675" s="1" t="s">
        <v>694</v>
      </c>
      <c r="C675" s="39">
        <f t="shared" ca="1" si="55"/>
        <v>0</v>
      </c>
      <c r="D675" t="s">
        <v>285</v>
      </c>
      <c r="E675" t="s">
        <v>392</v>
      </c>
      <c r="F675" s="7" t="s">
        <v>78</v>
      </c>
      <c r="G675" s="6" t="s">
        <v>681</v>
      </c>
      <c r="H675" s="2" t="s">
        <v>681</v>
      </c>
      <c r="I675" s="1">
        <v>30</v>
      </c>
      <c r="J675" s="1">
        <v>10</v>
      </c>
      <c r="L675" s="45">
        <f t="shared" si="56"/>
        <v>45705</v>
      </c>
      <c r="M675" s="46">
        <f t="shared" si="57"/>
        <v>45705</v>
      </c>
      <c r="Q675" s="43">
        <f t="shared" si="58"/>
        <v>0</v>
      </c>
      <c r="R675" s="43">
        <f t="shared" ca="1" si="59"/>
        <v>0</v>
      </c>
      <c r="S675" s="22"/>
      <c r="T675" s="25">
        <v>45675</v>
      </c>
    </row>
    <row r="676" spans="1:20" x14ac:dyDescent="0.3">
      <c r="A676" s="13">
        <v>673</v>
      </c>
      <c r="B676" s="1" t="s">
        <v>694</v>
      </c>
      <c r="C676" s="39">
        <f t="shared" ca="1" si="55"/>
        <v>0</v>
      </c>
      <c r="D676" t="s">
        <v>285</v>
      </c>
      <c r="E676" t="s">
        <v>393</v>
      </c>
      <c r="F676" s="7" t="s">
        <v>78</v>
      </c>
      <c r="G676" s="6" t="s">
        <v>681</v>
      </c>
      <c r="H676" s="2" t="s">
        <v>681</v>
      </c>
      <c r="I676" s="1">
        <v>30</v>
      </c>
      <c r="J676" s="1">
        <v>10</v>
      </c>
      <c r="L676" s="45">
        <f t="shared" si="56"/>
        <v>45706</v>
      </c>
      <c r="M676" s="46">
        <f t="shared" si="57"/>
        <v>45706</v>
      </c>
      <c r="Q676" s="43">
        <f t="shared" si="58"/>
        <v>0</v>
      </c>
      <c r="R676" s="43">
        <f t="shared" ca="1" si="59"/>
        <v>0</v>
      </c>
      <c r="S676" s="22"/>
      <c r="T676" s="25">
        <v>45676</v>
      </c>
    </row>
    <row r="677" spans="1:20" x14ac:dyDescent="0.3">
      <c r="A677" s="13">
        <v>674</v>
      </c>
      <c r="B677" s="1" t="s">
        <v>694</v>
      </c>
      <c r="C677" s="39">
        <f t="shared" ca="1" si="55"/>
        <v>0</v>
      </c>
      <c r="D677" t="s">
        <v>285</v>
      </c>
      <c r="E677" t="s">
        <v>394</v>
      </c>
      <c r="F677" s="7" t="s">
        <v>78</v>
      </c>
      <c r="G677" s="6" t="s">
        <v>681</v>
      </c>
      <c r="H677" s="2" t="s">
        <v>681</v>
      </c>
      <c r="I677" s="1">
        <v>30</v>
      </c>
      <c r="J677" s="1">
        <v>10</v>
      </c>
      <c r="L677" s="45">
        <f t="shared" si="56"/>
        <v>45707</v>
      </c>
      <c r="M677" s="46">
        <f t="shared" si="57"/>
        <v>45707</v>
      </c>
      <c r="Q677" s="43">
        <f t="shared" si="58"/>
        <v>0</v>
      </c>
      <c r="R677" s="43">
        <f t="shared" ca="1" si="59"/>
        <v>0</v>
      </c>
      <c r="S677" s="22"/>
      <c r="T677" s="25">
        <v>45677</v>
      </c>
    </row>
    <row r="678" spans="1:20" x14ac:dyDescent="0.3">
      <c r="A678" s="13">
        <v>675</v>
      </c>
      <c r="B678" s="1" t="s">
        <v>694</v>
      </c>
      <c r="C678" s="39">
        <f t="shared" ca="1" si="55"/>
        <v>0</v>
      </c>
      <c r="D678" t="s">
        <v>285</v>
      </c>
      <c r="E678" t="s">
        <v>365</v>
      </c>
      <c r="F678" s="7" t="s">
        <v>78</v>
      </c>
      <c r="G678" s="6" t="s">
        <v>681</v>
      </c>
      <c r="H678" s="2" t="s">
        <v>681</v>
      </c>
      <c r="I678" s="1">
        <v>30</v>
      </c>
      <c r="J678" s="1">
        <v>10</v>
      </c>
      <c r="L678" s="45">
        <f t="shared" si="56"/>
        <v>45708</v>
      </c>
      <c r="M678" s="46">
        <f t="shared" si="57"/>
        <v>45708</v>
      </c>
      <c r="Q678" s="43">
        <f t="shared" si="58"/>
        <v>0</v>
      </c>
      <c r="R678" s="43">
        <f t="shared" ca="1" si="59"/>
        <v>0</v>
      </c>
      <c r="S678" s="22"/>
      <c r="T678" s="25">
        <v>45678</v>
      </c>
    </row>
    <row r="679" spans="1:20" x14ac:dyDescent="0.3">
      <c r="A679" s="13">
        <v>676</v>
      </c>
      <c r="B679" s="1" t="s">
        <v>694</v>
      </c>
      <c r="C679" s="39">
        <f t="shared" ca="1" si="55"/>
        <v>0</v>
      </c>
      <c r="D679" t="s">
        <v>285</v>
      </c>
      <c r="E679" t="s">
        <v>395</v>
      </c>
      <c r="F679" s="7" t="s">
        <v>78</v>
      </c>
      <c r="G679" s="6" t="s">
        <v>681</v>
      </c>
      <c r="H679" s="2" t="s">
        <v>681</v>
      </c>
      <c r="I679" s="1">
        <v>30</v>
      </c>
      <c r="J679" s="1">
        <v>10</v>
      </c>
      <c r="L679" s="45">
        <f t="shared" si="56"/>
        <v>45709</v>
      </c>
      <c r="M679" s="46">
        <f t="shared" si="57"/>
        <v>45709</v>
      </c>
      <c r="Q679" s="43">
        <f t="shared" si="58"/>
        <v>0</v>
      </c>
      <c r="R679" s="43">
        <f t="shared" ca="1" si="59"/>
        <v>0</v>
      </c>
      <c r="S679" s="22"/>
      <c r="T679" s="25">
        <v>45679</v>
      </c>
    </row>
    <row r="680" spans="1:20" x14ac:dyDescent="0.3">
      <c r="A680" s="13">
        <v>677</v>
      </c>
      <c r="B680" s="1" t="s">
        <v>694</v>
      </c>
      <c r="C680" s="39">
        <f t="shared" ca="1" si="55"/>
        <v>0</v>
      </c>
      <c r="D680" t="s">
        <v>285</v>
      </c>
      <c r="E680" t="s">
        <v>143</v>
      </c>
      <c r="F680" s="7" t="s">
        <v>78</v>
      </c>
      <c r="G680" s="6" t="s">
        <v>681</v>
      </c>
      <c r="H680" s="2" t="s">
        <v>681</v>
      </c>
      <c r="I680" s="1">
        <v>30</v>
      </c>
      <c r="J680" s="1">
        <v>10</v>
      </c>
      <c r="L680" s="45">
        <f t="shared" si="56"/>
        <v>45710</v>
      </c>
      <c r="M680" s="46">
        <f t="shared" si="57"/>
        <v>45710</v>
      </c>
      <c r="Q680" s="43">
        <f t="shared" si="58"/>
        <v>0</v>
      </c>
      <c r="R680" s="43">
        <f t="shared" ca="1" si="59"/>
        <v>0</v>
      </c>
      <c r="S680" s="22"/>
      <c r="T680" s="25">
        <v>45680</v>
      </c>
    </row>
    <row r="681" spans="1:20" x14ac:dyDescent="0.3">
      <c r="A681" s="13">
        <v>678</v>
      </c>
      <c r="B681" s="1" t="s">
        <v>691</v>
      </c>
      <c r="C681" s="39">
        <f t="shared" ca="1" si="55"/>
        <v>0</v>
      </c>
      <c r="D681" t="s">
        <v>284</v>
      </c>
      <c r="E681" t="s">
        <v>388</v>
      </c>
      <c r="F681" s="7" t="s">
        <v>78</v>
      </c>
      <c r="G681" s="6" t="s">
        <v>681</v>
      </c>
      <c r="H681" s="2" t="s">
        <v>681</v>
      </c>
      <c r="I681" s="1">
        <v>30</v>
      </c>
      <c r="J681" s="1">
        <v>10</v>
      </c>
      <c r="L681" s="45">
        <f t="shared" si="56"/>
        <v>45711</v>
      </c>
      <c r="M681" s="46">
        <f t="shared" si="57"/>
        <v>45711</v>
      </c>
      <c r="Q681" s="43">
        <f t="shared" si="58"/>
        <v>0</v>
      </c>
      <c r="R681" s="43">
        <f t="shared" ca="1" si="59"/>
        <v>0</v>
      </c>
      <c r="S681" s="22"/>
      <c r="T681" s="25">
        <v>45681</v>
      </c>
    </row>
    <row r="682" spans="1:20" x14ac:dyDescent="0.3">
      <c r="A682" s="13">
        <v>679</v>
      </c>
      <c r="B682" s="1" t="s">
        <v>691</v>
      </c>
      <c r="C682" s="39">
        <f t="shared" ca="1" si="55"/>
        <v>0</v>
      </c>
      <c r="D682" t="s">
        <v>284</v>
      </c>
      <c r="E682" t="s">
        <v>187</v>
      </c>
      <c r="F682" s="7" t="s">
        <v>78</v>
      </c>
      <c r="G682" s="6" t="s">
        <v>681</v>
      </c>
      <c r="H682" s="2" t="s">
        <v>681</v>
      </c>
      <c r="I682" s="1">
        <v>30</v>
      </c>
      <c r="J682" s="1">
        <v>10</v>
      </c>
      <c r="L682" s="45">
        <f t="shared" si="56"/>
        <v>45712</v>
      </c>
      <c r="M682" s="46">
        <f t="shared" si="57"/>
        <v>45712</v>
      </c>
      <c r="Q682" s="43">
        <f t="shared" si="58"/>
        <v>0</v>
      </c>
      <c r="R682" s="43">
        <f t="shared" ca="1" si="59"/>
        <v>0</v>
      </c>
      <c r="S682" s="22"/>
      <c r="T682" s="25">
        <v>45682</v>
      </c>
    </row>
    <row r="683" spans="1:20" x14ac:dyDescent="0.3">
      <c r="A683" s="13">
        <v>680</v>
      </c>
      <c r="B683" s="1" t="s">
        <v>691</v>
      </c>
      <c r="C683" s="39">
        <f t="shared" ca="1" si="55"/>
        <v>0</v>
      </c>
      <c r="D683" t="s">
        <v>284</v>
      </c>
      <c r="E683" t="s">
        <v>365</v>
      </c>
      <c r="F683" s="7" t="s">
        <v>78</v>
      </c>
      <c r="G683" s="6" t="s">
        <v>681</v>
      </c>
      <c r="H683" s="2" t="s">
        <v>681</v>
      </c>
      <c r="I683" s="1">
        <v>30</v>
      </c>
      <c r="J683" s="1">
        <v>10</v>
      </c>
      <c r="L683" s="45">
        <f t="shared" si="56"/>
        <v>45713</v>
      </c>
      <c r="M683" s="46">
        <f t="shared" si="57"/>
        <v>45713</v>
      </c>
      <c r="Q683" s="43">
        <f t="shared" si="58"/>
        <v>0</v>
      </c>
      <c r="R683" s="43">
        <f t="shared" ca="1" si="59"/>
        <v>0</v>
      </c>
      <c r="S683" s="22"/>
      <c r="T683" s="25">
        <v>45683</v>
      </c>
    </row>
    <row r="684" spans="1:20" x14ac:dyDescent="0.3">
      <c r="A684" s="13">
        <v>681</v>
      </c>
      <c r="B684" s="1" t="s">
        <v>691</v>
      </c>
      <c r="C684" s="39">
        <f t="shared" ca="1" si="55"/>
        <v>0</v>
      </c>
      <c r="D684" t="s">
        <v>284</v>
      </c>
      <c r="E684" t="s">
        <v>389</v>
      </c>
      <c r="F684" s="7" t="s">
        <v>78</v>
      </c>
      <c r="G684" s="6" t="s">
        <v>681</v>
      </c>
      <c r="H684" s="2" t="s">
        <v>681</v>
      </c>
      <c r="I684" s="1">
        <v>30</v>
      </c>
      <c r="J684" s="1">
        <v>10</v>
      </c>
      <c r="L684" s="45">
        <f t="shared" si="56"/>
        <v>45714</v>
      </c>
      <c r="M684" s="46">
        <f t="shared" si="57"/>
        <v>45714</v>
      </c>
      <c r="Q684" s="43">
        <f t="shared" si="58"/>
        <v>0</v>
      </c>
      <c r="R684" s="43">
        <f t="shared" ca="1" si="59"/>
        <v>0</v>
      </c>
      <c r="S684" s="22"/>
      <c r="T684" s="25">
        <v>45684</v>
      </c>
    </row>
    <row r="685" spans="1:20" x14ac:dyDescent="0.3">
      <c r="A685" s="13">
        <v>682</v>
      </c>
      <c r="B685" s="1" t="s">
        <v>691</v>
      </c>
      <c r="C685" s="39">
        <f t="shared" ca="1" si="55"/>
        <v>0</v>
      </c>
      <c r="D685" t="s">
        <v>284</v>
      </c>
      <c r="E685" t="s">
        <v>390</v>
      </c>
      <c r="F685" s="7" t="s">
        <v>78</v>
      </c>
      <c r="G685" s="6" t="s">
        <v>681</v>
      </c>
      <c r="H685" s="2" t="s">
        <v>681</v>
      </c>
      <c r="I685" s="1">
        <v>30</v>
      </c>
      <c r="J685" s="1">
        <v>10</v>
      </c>
      <c r="L685" s="45">
        <f t="shared" si="56"/>
        <v>45715</v>
      </c>
      <c r="M685" s="46">
        <f t="shared" si="57"/>
        <v>45715</v>
      </c>
      <c r="Q685" s="43">
        <f t="shared" si="58"/>
        <v>0</v>
      </c>
      <c r="R685" s="43">
        <f t="shared" ca="1" si="59"/>
        <v>0</v>
      </c>
      <c r="S685" s="22"/>
      <c r="T685" s="25">
        <v>45685</v>
      </c>
    </row>
    <row r="686" spans="1:20" x14ac:dyDescent="0.3">
      <c r="A686" s="13">
        <v>683</v>
      </c>
      <c r="B686" s="1" t="s">
        <v>691</v>
      </c>
      <c r="C686" s="39">
        <f t="shared" ca="1" si="55"/>
        <v>0</v>
      </c>
      <c r="D686" t="s">
        <v>284</v>
      </c>
      <c r="E686" t="s">
        <v>176</v>
      </c>
      <c r="F686" s="7" t="s">
        <v>78</v>
      </c>
      <c r="G686" s="6" t="s">
        <v>681</v>
      </c>
      <c r="H686" s="2" t="s">
        <v>681</v>
      </c>
      <c r="I686" s="1">
        <v>30</v>
      </c>
      <c r="J686" s="1">
        <v>10</v>
      </c>
      <c r="L686" s="45">
        <f t="shared" si="56"/>
        <v>45716</v>
      </c>
      <c r="M686" s="46">
        <f t="shared" si="57"/>
        <v>45716</v>
      </c>
      <c r="Q686" s="43">
        <f t="shared" si="58"/>
        <v>0</v>
      </c>
      <c r="R686" s="43">
        <f t="shared" ca="1" si="59"/>
        <v>0</v>
      </c>
      <c r="S686" s="22"/>
      <c r="T686" s="25">
        <v>45686</v>
      </c>
    </row>
    <row r="687" spans="1:20" x14ac:dyDescent="0.3">
      <c r="A687" s="13">
        <v>684</v>
      </c>
      <c r="B687" s="1" t="s">
        <v>691</v>
      </c>
      <c r="C687" s="39">
        <f t="shared" ca="1" si="55"/>
        <v>0</v>
      </c>
      <c r="D687" t="s">
        <v>285</v>
      </c>
      <c r="E687" t="s">
        <v>188</v>
      </c>
      <c r="F687" s="7" t="s">
        <v>78</v>
      </c>
      <c r="G687" s="6" t="s">
        <v>681</v>
      </c>
      <c r="H687" s="2" t="s">
        <v>681</v>
      </c>
      <c r="I687" s="1">
        <v>30</v>
      </c>
      <c r="J687" s="1">
        <v>10</v>
      </c>
      <c r="L687" s="45">
        <f t="shared" si="56"/>
        <v>45717</v>
      </c>
      <c r="M687" s="46">
        <f t="shared" si="57"/>
        <v>45717</v>
      </c>
      <c r="Q687" s="43">
        <f t="shared" si="58"/>
        <v>0</v>
      </c>
      <c r="R687" s="43">
        <f t="shared" ca="1" si="59"/>
        <v>0</v>
      </c>
      <c r="S687" s="22"/>
      <c r="T687" s="25">
        <v>45687</v>
      </c>
    </row>
    <row r="688" spans="1:20" x14ac:dyDescent="0.3">
      <c r="A688" s="13">
        <v>685</v>
      </c>
      <c r="B688" s="1" t="s">
        <v>691</v>
      </c>
      <c r="C688" s="39">
        <f t="shared" ca="1" si="55"/>
        <v>0</v>
      </c>
      <c r="D688" t="s">
        <v>285</v>
      </c>
      <c r="E688" t="s">
        <v>391</v>
      </c>
      <c r="F688" s="7" t="s">
        <v>78</v>
      </c>
      <c r="G688" s="6" t="s">
        <v>681</v>
      </c>
      <c r="H688" s="2" t="s">
        <v>681</v>
      </c>
      <c r="I688" s="1">
        <v>30</v>
      </c>
      <c r="J688" s="1">
        <v>10</v>
      </c>
      <c r="L688" s="45">
        <f t="shared" si="56"/>
        <v>45718</v>
      </c>
      <c r="M688" s="46">
        <f t="shared" si="57"/>
        <v>45718</v>
      </c>
      <c r="Q688" s="43">
        <f t="shared" si="58"/>
        <v>0</v>
      </c>
      <c r="R688" s="43">
        <f t="shared" ca="1" si="59"/>
        <v>0</v>
      </c>
      <c r="S688" s="22"/>
      <c r="T688" s="25">
        <v>45688</v>
      </c>
    </row>
    <row r="689" spans="1:20" x14ac:dyDescent="0.3">
      <c r="A689" s="13">
        <v>686</v>
      </c>
      <c r="B689" s="1" t="s">
        <v>691</v>
      </c>
      <c r="C689" s="39">
        <f t="shared" ca="1" si="55"/>
        <v>0</v>
      </c>
      <c r="D689" t="s">
        <v>285</v>
      </c>
      <c r="E689" t="s">
        <v>392</v>
      </c>
      <c r="F689" s="7" t="s">
        <v>78</v>
      </c>
      <c r="G689" s="6" t="s">
        <v>681</v>
      </c>
      <c r="H689" s="2" t="s">
        <v>681</v>
      </c>
      <c r="I689" s="1">
        <v>30</v>
      </c>
      <c r="J689" s="1">
        <v>10</v>
      </c>
      <c r="L689" s="45">
        <f t="shared" si="56"/>
        <v>45719</v>
      </c>
      <c r="M689" s="46">
        <f t="shared" si="57"/>
        <v>45719</v>
      </c>
      <c r="Q689" s="43">
        <f t="shared" si="58"/>
        <v>0</v>
      </c>
      <c r="R689" s="43">
        <f t="shared" ca="1" si="59"/>
        <v>0</v>
      </c>
      <c r="S689" s="22"/>
      <c r="T689" s="25">
        <v>45689</v>
      </c>
    </row>
    <row r="690" spans="1:20" x14ac:dyDescent="0.3">
      <c r="A690" s="13">
        <v>687</v>
      </c>
      <c r="B690" s="1" t="s">
        <v>691</v>
      </c>
      <c r="C690" s="39">
        <f t="shared" ca="1" si="55"/>
        <v>0</v>
      </c>
      <c r="D690" t="s">
        <v>285</v>
      </c>
      <c r="E690" t="s">
        <v>393</v>
      </c>
      <c r="F690" s="7" t="s">
        <v>78</v>
      </c>
      <c r="G690" s="6" t="s">
        <v>681</v>
      </c>
      <c r="H690" s="2" t="s">
        <v>681</v>
      </c>
      <c r="I690" s="1">
        <v>30</v>
      </c>
      <c r="J690" s="1">
        <v>10</v>
      </c>
      <c r="L690" s="45">
        <f t="shared" si="56"/>
        <v>45720</v>
      </c>
      <c r="M690" s="46">
        <f t="shared" si="57"/>
        <v>45720</v>
      </c>
      <c r="Q690" s="43">
        <f t="shared" si="58"/>
        <v>0</v>
      </c>
      <c r="R690" s="43">
        <f t="shared" ca="1" si="59"/>
        <v>0</v>
      </c>
      <c r="S690" s="22"/>
      <c r="T690" s="25">
        <v>45690</v>
      </c>
    </row>
    <row r="691" spans="1:20" x14ac:dyDescent="0.3">
      <c r="A691" s="13">
        <v>688</v>
      </c>
      <c r="B691" s="1" t="s">
        <v>691</v>
      </c>
      <c r="C691" s="39">
        <f t="shared" ca="1" si="55"/>
        <v>0</v>
      </c>
      <c r="D691" t="s">
        <v>285</v>
      </c>
      <c r="E691" t="s">
        <v>394</v>
      </c>
      <c r="F691" s="7" t="s">
        <v>78</v>
      </c>
      <c r="G691" s="6" t="s">
        <v>681</v>
      </c>
      <c r="H691" s="2" t="s">
        <v>681</v>
      </c>
      <c r="I691" s="1">
        <v>30</v>
      </c>
      <c r="J691" s="1">
        <v>10</v>
      </c>
      <c r="L691" s="45">
        <f t="shared" si="56"/>
        <v>45721</v>
      </c>
      <c r="M691" s="46">
        <f t="shared" si="57"/>
        <v>45721</v>
      </c>
      <c r="Q691" s="43">
        <f t="shared" si="58"/>
        <v>0</v>
      </c>
      <c r="R691" s="43">
        <f t="shared" ca="1" si="59"/>
        <v>0</v>
      </c>
      <c r="S691" s="22"/>
      <c r="T691" s="25">
        <v>45691</v>
      </c>
    </row>
    <row r="692" spans="1:20" x14ac:dyDescent="0.3">
      <c r="A692" s="13">
        <v>689</v>
      </c>
      <c r="B692" s="1" t="s">
        <v>691</v>
      </c>
      <c r="C692" s="39">
        <f t="shared" ca="1" si="55"/>
        <v>0</v>
      </c>
      <c r="D692" t="s">
        <v>285</v>
      </c>
      <c r="E692" t="s">
        <v>365</v>
      </c>
      <c r="F692" s="7" t="s">
        <v>78</v>
      </c>
      <c r="G692" s="6" t="s">
        <v>681</v>
      </c>
      <c r="H692" s="2" t="s">
        <v>681</v>
      </c>
      <c r="I692" s="1">
        <v>30</v>
      </c>
      <c r="J692" s="1">
        <v>10</v>
      </c>
      <c r="L692" s="45">
        <f t="shared" si="56"/>
        <v>45722</v>
      </c>
      <c r="M692" s="46">
        <f t="shared" si="57"/>
        <v>45722</v>
      </c>
      <c r="Q692" s="43">
        <f t="shared" si="58"/>
        <v>0</v>
      </c>
      <c r="R692" s="43">
        <f t="shared" ca="1" si="59"/>
        <v>0</v>
      </c>
      <c r="S692" s="22"/>
      <c r="T692" s="25">
        <v>45692</v>
      </c>
    </row>
    <row r="693" spans="1:20" x14ac:dyDescent="0.3">
      <c r="A693" s="13">
        <v>690</v>
      </c>
      <c r="B693" s="1" t="s">
        <v>691</v>
      </c>
      <c r="C693" s="39">
        <f t="shared" ca="1" si="55"/>
        <v>0</v>
      </c>
      <c r="D693" t="s">
        <v>285</v>
      </c>
      <c r="E693" t="s">
        <v>395</v>
      </c>
      <c r="F693" s="7" t="s">
        <v>78</v>
      </c>
      <c r="G693" s="6" t="s">
        <v>681</v>
      </c>
      <c r="H693" s="2" t="s">
        <v>681</v>
      </c>
      <c r="I693" s="1">
        <v>30</v>
      </c>
      <c r="J693" s="1">
        <v>10</v>
      </c>
      <c r="L693" s="45">
        <f t="shared" si="56"/>
        <v>45723</v>
      </c>
      <c r="M693" s="46">
        <f t="shared" si="57"/>
        <v>45723</v>
      </c>
      <c r="Q693" s="43">
        <f t="shared" si="58"/>
        <v>0</v>
      </c>
      <c r="R693" s="43">
        <f t="shared" ca="1" si="59"/>
        <v>0</v>
      </c>
      <c r="S693" s="22"/>
      <c r="T693" s="25">
        <v>45693</v>
      </c>
    </row>
    <row r="694" spans="1:20" x14ac:dyDescent="0.3">
      <c r="A694" s="13">
        <v>691</v>
      </c>
      <c r="B694" s="1" t="s">
        <v>691</v>
      </c>
      <c r="C694" s="39">
        <f t="shared" ca="1" si="55"/>
        <v>0</v>
      </c>
      <c r="D694" t="s">
        <v>285</v>
      </c>
      <c r="E694" t="s">
        <v>143</v>
      </c>
      <c r="F694" s="7" t="s">
        <v>78</v>
      </c>
      <c r="G694" s="6" t="s">
        <v>681</v>
      </c>
      <c r="H694" s="2" t="s">
        <v>681</v>
      </c>
      <c r="I694" s="1">
        <v>30</v>
      </c>
      <c r="J694" s="1">
        <v>10</v>
      </c>
      <c r="L694" s="45">
        <f t="shared" si="56"/>
        <v>45724</v>
      </c>
      <c r="M694" s="46">
        <f t="shared" si="57"/>
        <v>45724</v>
      </c>
      <c r="Q694" s="43">
        <f t="shared" si="58"/>
        <v>0</v>
      </c>
      <c r="R694" s="43">
        <f t="shared" ca="1" si="59"/>
        <v>0</v>
      </c>
      <c r="S694" s="22"/>
      <c r="T694" s="25">
        <v>45694</v>
      </c>
    </row>
    <row r="695" spans="1:20" x14ac:dyDescent="0.3">
      <c r="A695" s="13">
        <v>692</v>
      </c>
      <c r="B695" s="1" t="s">
        <v>84</v>
      </c>
      <c r="C695" s="39">
        <f t="shared" ca="1" si="55"/>
        <v>0</v>
      </c>
      <c r="D695" t="s">
        <v>136</v>
      </c>
      <c r="E695" t="s">
        <v>396</v>
      </c>
      <c r="F695" s="7" t="s">
        <v>78</v>
      </c>
      <c r="G695" s="6" t="s">
        <v>681</v>
      </c>
      <c r="H695" s="2" t="s">
        <v>681</v>
      </c>
      <c r="I695" s="1">
        <v>14</v>
      </c>
      <c r="J695" s="1">
        <v>5</v>
      </c>
      <c r="L695" s="45">
        <f t="shared" si="56"/>
        <v>45709</v>
      </c>
      <c r="M695" s="46">
        <f t="shared" si="57"/>
        <v>45709</v>
      </c>
      <c r="Q695" s="43">
        <f t="shared" si="58"/>
        <v>0</v>
      </c>
      <c r="R695" s="43">
        <f t="shared" ca="1" si="59"/>
        <v>0</v>
      </c>
      <c r="S695" s="22"/>
      <c r="T695" s="25">
        <v>45695</v>
      </c>
    </row>
    <row r="696" spans="1:20" x14ac:dyDescent="0.3">
      <c r="A696" s="13">
        <v>693</v>
      </c>
      <c r="B696" s="1" t="s">
        <v>84</v>
      </c>
      <c r="C696" s="39">
        <f t="shared" ca="1" si="55"/>
        <v>0</v>
      </c>
      <c r="D696" t="s">
        <v>136</v>
      </c>
      <c r="E696" t="s">
        <v>397</v>
      </c>
      <c r="F696" s="7" t="s">
        <v>78</v>
      </c>
      <c r="G696" s="6" t="s">
        <v>681</v>
      </c>
      <c r="H696" s="2" t="s">
        <v>681</v>
      </c>
      <c r="I696" s="1">
        <v>14</v>
      </c>
      <c r="J696" s="1">
        <v>5</v>
      </c>
      <c r="L696" s="45">
        <f t="shared" si="56"/>
        <v>45710</v>
      </c>
      <c r="M696" s="46">
        <f t="shared" si="57"/>
        <v>45710</v>
      </c>
      <c r="Q696" s="43">
        <f t="shared" si="58"/>
        <v>0</v>
      </c>
      <c r="R696" s="43">
        <f t="shared" ca="1" si="59"/>
        <v>0</v>
      </c>
      <c r="S696" s="22"/>
      <c r="T696" s="25">
        <v>45696</v>
      </c>
    </row>
    <row r="697" spans="1:20" x14ac:dyDescent="0.3">
      <c r="A697" s="13">
        <v>694</v>
      </c>
      <c r="B697" s="1" t="s">
        <v>84</v>
      </c>
      <c r="C697" s="39">
        <f t="shared" ca="1" si="55"/>
        <v>0</v>
      </c>
      <c r="D697" t="s">
        <v>136</v>
      </c>
      <c r="E697" t="s">
        <v>189</v>
      </c>
      <c r="F697" s="7" t="s">
        <v>78</v>
      </c>
      <c r="G697" s="6" t="s">
        <v>681</v>
      </c>
      <c r="H697" s="2" t="s">
        <v>681</v>
      </c>
      <c r="I697" s="1">
        <v>14</v>
      </c>
      <c r="J697" s="1">
        <v>5</v>
      </c>
      <c r="L697" s="45">
        <f t="shared" si="56"/>
        <v>45711</v>
      </c>
      <c r="M697" s="46">
        <f t="shared" si="57"/>
        <v>45711</v>
      </c>
      <c r="Q697" s="43">
        <f t="shared" si="58"/>
        <v>0</v>
      </c>
      <c r="R697" s="43">
        <f t="shared" ca="1" si="59"/>
        <v>0</v>
      </c>
      <c r="S697" s="22"/>
      <c r="T697" s="25">
        <v>45697</v>
      </c>
    </row>
    <row r="698" spans="1:20" x14ac:dyDescent="0.3">
      <c r="A698" s="13">
        <v>695</v>
      </c>
      <c r="B698" s="1" t="s">
        <v>84</v>
      </c>
      <c r="C698" s="39">
        <f t="shared" ca="1" si="55"/>
        <v>0</v>
      </c>
      <c r="D698" t="s">
        <v>136</v>
      </c>
      <c r="E698" t="s">
        <v>398</v>
      </c>
      <c r="F698" s="7" t="s">
        <v>78</v>
      </c>
      <c r="G698" s="6" t="s">
        <v>681</v>
      </c>
      <c r="H698" s="2" t="s">
        <v>681</v>
      </c>
      <c r="I698" s="1">
        <v>14</v>
      </c>
      <c r="J698" s="1">
        <v>5</v>
      </c>
      <c r="L698" s="45">
        <f t="shared" si="56"/>
        <v>45712</v>
      </c>
      <c r="M698" s="46">
        <f t="shared" si="57"/>
        <v>45712</v>
      </c>
      <c r="Q698" s="43">
        <f t="shared" si="58"/>
        <v>0</v>
      </c>
      <c r="R698" s="43">
        <f t="shared" ca="1" si="59"/>
        <v>0</v>
      </c>
      <c r="S698" s="22"/>
      <c r="T698" s="25">
        <v>45698</v>
      </c>
    </row>
    <row r="699" spans="1:20" x14ac:dyDescent="0.3">
      <c r="A699" s="13">
        <v>696</v>
      </c>
      <c r="B699" s="1" t="s">
        <v>84</v>
      </c>
      <c r="C699" s="39">
        <f t="shared" ca="1" si="55"/>
        <v>0</v>
      </c>
      <c r="D699" t="s">
        <v>286</v>
      </c>
      <c r="E699" t="s">
        <v>399</v>
      </c>
      <c r="F699" s="7" t="s">
        <v>78</v>
      </c>
      <c r="G699" s="6" t="s">
        <v>681</v>
      </c>
      <c r="H699" s="2" t="s">
        <v>681</v>
      </c>
      <c r="I699" s="1">
        <v>14</v>
      </c>
      <c r="J699" s="1">
        <v>5</v>
      </c>
      <c r="L699" s="45">
        <f t="shared" si="56"/>
        <v>45713</v>
      </c>
      <c r="M699" s="46">
        <f t="shared" si="57"/>
        <v>45713</v>
      </c>
      <c r="Q699" s="43">
        <f t="shared" si="58"/>
        <v>0</v>
      </c>
      <c r="R699" s="43">
        <f t="shared" ca="1" si="59"/>
        <v>0</v>
      </c>
      <c r="S699" s="22"/>
      <c r="T699" s="25">
        <v>45699</v>
      </c>
    </row>
    <row r="700" spans="1:20" x14ac:dyDescent="0.3">
      <c r="A700" s="13">
        <v>697</v>
      </c>
      <c r="B700" s="1" t="s">
        <v>84</v>
      </c>
      <c r="C700" s="39">
        <f t="shared" ca="1" si="55"/>
        <v>0</v>
      </c>
      <c r="D700" t="s">
        <v>286</v>
      </c>
      <c r="E700" t="s">
        <v>400</v>
      </c>
      <c r="F700" s="7" t="s">
        <v>78</v>
      </c>
      <c r="G700" s="6" t="s">
        <v>681</v>
      </c>
      <c r="H700" s="2" t="s">
        <v>681</v>
      </c>
      <c r="I700" s="1">
        <v>14</v>
      </c>
      <c r="J700" s="1">
        <v>5</v>
      </c>
      <c r="L700" s="45">
        <f t="shared" si="56"/>
        <v>45714</v>
      </c>
      <c r="M700" s="46">
        <f t="shared" si="57"/>
        <v>45714</v>
      </c>
      <c r="Q700" s="43">
        <f t="shared" si="58"/>
        <v>0</v>
      </c>
      <c r="R700" s="43">
        <f t="shared" ca="1" si="59"/>
        <v>0</v>
      </c>
      <c r="S700" s="22"/>
      <c r="T700" s="25">
        <v>45700</v>
      </c>
    </row>
    <row r="701" spans="1:20" x14ac:dyDescent="0.3">
      <c r="A701" s="13">
        <v>698</v>
      </c>
      <c r="B701" s="1" t="s">
        <v>84</v>
      </c>
      <c r="C701" s="39">
        <f t="shared" ca="1" si="55"/>
        <v>0</v>
      </c>
      <c r="D701" t="s">
        <v>286</v>
      </c>
      <c r="E701" t="s">
        <v>401</v>
      </c>
      <c r="F701" s="7" t="s">
        <v>78</v>
      </c>
      <c r="G701" s="6" t="s">
        <v>681</v>
      </c>
      <c r="H701" s="2" t="s">
        <v>681</v>
      </c>
      <c r="I701" s="1">
        <v>14</v>
      </c>
      <c r="J701" s="1">
        <v>5</v>
      </c>
      <c r="L701" s="45">
        <f t="shared" si="56"/>
        <v>45715</v>
      </c>
      <c r="M701" s="46">
        <f t="shared" si="57"/>
        <v>45715</v>
      </c>
      <c r="Q701" s="43">
        <f t="shared" si="58"/>
        <v>0</v>
      </c>
      <c r="R701" s="43">
        <f t="shared" ca="1" si="59"/>
        <v>0</v>
      </c>
      <c r="S701" s="22"/>
      <c r="T701" s="25">
        <v>45701</v>
      </c>
    </row>
    <row r="702" spans="1:20" x14ac:dyDescent="0.3">
      <c r="A702" s="13">
        <v>699</v>
      </c>
      <c r="B702" s="1" t="s">
        <v>84</v>
      </c>
      <c r="C702" s="39">
        <f t="shared" ca="1" si="55"/>
        <v>0</v>
      </c>
      <c r="D702" t="s">
        <v>286</v>
      </c>
      <c r="E702" t="s">
        <v>402</v>
      </c>
      <c r="F702" s="7" t="s">
        <v>78</v>
      </c>
      <c r="G702" s="6" t="s">
        <v>681</v>
      </c>
      <c r="H702" s="2" t="s">
        <v>681</v>
      </c>
      <c r="I702" s="1">
        <v>14</v>
      </c>
      <c r="J702" s="1">
        <v>5</v>
      </c>
      <c r="L702" s="45">
        <f t="shared" si="56"/>
        <v>45716</v>
      </c>
      <c r="M702" s="46">
        <f t="shared" si="57"/>
        <v>45716</v>
      </c>
      <c r="Q702" s="43">
        <f t="shared" si="58"/>
        <v>0</v>
      </c>
      <c r="R702" s="43">
        <f t="shared" ca="1" si="59"/>
        <v>0</v>
      </c>
      <c r="S702" s="22"/>
      <c r="T702" s="25">
        <v>45702</v>
      </c>
    </row>
    <row r="703" spans="1:20" x14ac:dyDescent="0.3">
      <c r="A703" s="13">
        <v>700</v>
      </c>
      <c r="B703" s="1" t="s">
        <v>84</v>
      </c>
      <c r="C703" s="39">
        <f t="shared" ca="1" si="55"/>
        <v>0</v>
      </c>
      <c r="D703" t="s">
        <v>286</v>
      </c>
      <c r="E703" t="s">
        <v>403</v>
      </c>
      <c r="F703" s="7" t="s">
        <v>78</v>
      </c>
      <c r="G703" s="6" t="s">
        <v>681</v>
      </c>
      <c r="H703" s="2" t="s">
        <v>681</v>
      </c>
      <c r="I703" s="1">
        <v>14</v>
      </c>
      <c r="J703" s="1">
        <v>5</v>
      </c>
      <c r="L703" s="45">
        <f t="shared" si="56"/>
        <v>45717</v>
      </c>
      <c r="M703" s="46">
        <f t="shared" si="57"/>
        <v>45717</v>
      </c>
      <c r="Q703" s="43">
        <f t="shared" si="58"/>
        <v>0</v>
      </c>
      <c r="R703" s="43">
        <f t="shared" ca="1" si="59"/>
        <v>0</v>
      </c>
      <c r="S703" s="22"/>
      <c r="T703" s="25">
        <v>45703</v>
      </c>
    </row>
    <row r="704" spans="1:20" x14ac:dyDescent="0.3">
      <c r="A704" s="13">
        <v>701</v>
      </c>
      <c r="B704" s="1" t="s">
        <v>84</v>
      </c>
      <c r="C704" s="39">
        <f t="shared" ca="1" si="55"/>
        <v>0</v>
      </c>
      <c r="D704" t="s">
        <v>286</v>
      </c>
      <c r="E704" t="s">
        <v>404</v>
      </c>
      <c r="F704" s="7" t="s">
        <v>78</v>
      </c>
      <c r="G704" s="6" t="s">
        <v>681</v>
      </c>
      <c r="H704" s="2" t="s">
        <v>681</v>
      </c>
      <c r="I704" s="1">
        <v>14</v>
      </c>
      <c r="J704" s="1">
        <v>5</v>
      </c>
      <c r="L704" s="45">
        <f t="shared" si="56"/>
        <v>45718</v>
      </c>
      <c r="M704" s="46">
        <f t="shared" si="57"/>
        <v>45718</v>
      </c>
      <c r="Q704" s="43">
        <f t="shared" si="58"/>
        <v>0</v>
      </c>
      <c r="R704" s="43">
        <f t="shared" ca="1" si="59"/>
        <v>0</v>
      </c>
      <c r="S704" s="22"/>
      <c r="T704" s="25">
        <v>45704</v>
      </c>
    </row>
    <row r="705" spans="1:20" x14ac:dyDescent="0.3">
      <c r="A705" s="13">
        <v>702</v>
      </c>
      <c r="B705" s="1" t="s">
        <v>84</v>
      </c>
      <c r="C705" s="39">
        <f t="shared" ca="1" si="55"/>
        <v>0</v>
      </c>
      <c r="D705" t="s">
        <v>286</v>
      </c>
      <c r="E705" t="s">
        <v>189</v>
      </c>
      <c r="F705" s="7" t="s">
        <v>78</v>
      </c>
      <c r="G705" s="6" t="s">
        <v>681</v>
      </c>
      <c r="H705" s="2" t="s">
        <v>681</v>
      </c>
      <c r="I705" s="1">
        <v>14</v>
      </c>
      <c r="J705" s="1">
        <v>5</v>
      </c>
      <c r="L705" s="45">
        <f t="shared" si="56"/>
        <v>45719</v>
      </c>
      <c r="M705" s="46">
        <f t="shared" si="57"/>
        <v>45719</v>
      </c>
      <c r="Q705" s="43">
        <f t="shared" si="58"/>
        <v>0</v>
      </c>
      <c r="R705" s="43">
        <f t="shared" ca="1" si="59"/>
        <v>0</v>
      </c>
      <c r="S705" s="22"/>
      <c r="T705" s="25">
        <v>45705</v>
      </c>
    </row>
    <row r="706" spans="1:20" x14ac:dyDescent="0.3">
      <c r="A706" s="13">
        <v>703</v>
      </c>
      <c r="B706" s="1" t="s">
        <v>84</v>
      </c>
      <c r="C706" s="39">
        <f t="shared" ca="1" si="55"/>
        <v>0</v>
      </c>
      <c r="D706" t="s">
        <v>286</v>
      </c>
      <c r="E706" t="s">
        <v>189</v>
      </c>
      <c r="F706" s="7" t="s">
        <v>78</v>
      </c>
      <c r="G706" s="6" t="s">
        <v>681</v>
      </c>
      <c r="H706" s="2" t="s">
        <v>681</v>
      </c>
      <c r="I706" s="1">
        <v>14</v>
      </c>
      <c r="J706" s="1">
        <v>5</v>
      </c>
      <c r="L706" s="45">
        <f t="shared" si="56"/>
        <v>45720</v>
      </c>
      <c r="M706" s="46">
        <f t="shared" si="57"/>
        <v>45720</v>
      </c>
      <c r="Q706" s="43">
        <f t="shared" si="58"/>
        <v>0</v>
      </c>
      <c r="R706" s="43">
        <f t="shared" ca="1" si="59"/>
        <v>0</v>
      </c>
      <c r="S706" s="22"/>
      <c r="T706" s="25">
        <v>45706</v>
      </c>
    </row>
    <row r="707" spans="1:20" x14ac:dyDescent="0.3">
      <c r="A707" s="13">
        <v>704</v>
      </c>
      <c r="B707" s="1" t="s">
        <v>84</v>
      </c>
      <c r="C707" s="39">
        <f t="shared" ca="1" si="55"/>
        <v>0</v>
      </c>
      <c r="D707" t="s">
        <v>286</v>
      </c>
      <c r="E707" t="s">
        <v>405</v>
      </c>
      <c r="F707" s="7" t="s">
        <v>78</v>
      </c>
      <c r="G707" s="6" t="s">
        <v>681</v>
      </c>
      <c r="H707" s="2" t="s">
        <v>681</v>
      </c>
      <c r="I707" s="1">
        <v>14</v>
      </c>
      <c r="J707" s="1">
        <v>5</v>
      </c>
      <c r="L707" s="45">
        <f t="shared" si="56"/>
        <v>45721</v>
      </c>
      <c r="M707" s="46">
        <f t="shared" si="57"/>
        <v>45721</v>
      </c>
      <c r="Q707" s="43">
        <f t="shared" si="58"/>
        <v>0</v>
      </c>
      <c r="R707" s="43">
        <f t="shared" ca="1" si="59"/>
        <v>0</v>
      </c>
      <c r="S707" s="22"/>
      <c r="T707" s="25">
        <v>45707</v>
      </c>
    </row>
    <row r="708" spans="1:20" x14ac:dyDescent="0.3">
      <c r="A708" s="13">
        <v>705</v>
      </c>
      <c r="B708" s="1" t="s">
        <v>84</v>
      </c>
      <c r="C708" s="39">
        <f t="shared" ca="1" si="55"/>
        <v>0</v>
      </c>
      <c r="D708" t="s">
        <v>287</v>
      </c>
      <c r="E708" t="s">
        <v>241</v>
      </c>
      <c r="F708" s="7" t="s">
        <v>78</v>
      </c>
      <c r="G708" s="6" t="s">
        <v>681</v>
      </c>
      <c r="H708" s="2" t="s">
        <v>681</v>
      </c>
      <c r="I708" s="1">
        <v>14</v>
      </c>
      <c r="J708" s="1">
        <v>5</v>
      </c>
      <c r="L708" s="45">
        <f t="shared" si="56"/>
        <v>45722</v>
      </c>
      <c r="M708" s="46">
        <f t="shared" si="57"/>
        <v>45722</v>
      </c>
      <c r="Q708" s="43">
        <f t="shared" si="58"/>
        <v>0</v>
      </c>
      <c r="R708" s="43">
        <f t="shared" ca="1" si="59"/>
        <v>0</v>
      </c>
      <c r="S708" s="22"/>
      <c r="T708" s="25">
        <v>45708</v>
      </c>
    </row>
    <row r="709" spans="1:20" x14ac:dyDescent="0.3">
      <c r="A709" s="13">
        <v>706</v>
      </c>
      <c r="B709" s="1" t="s">
        <v>84</v>
      </c>
      <c r="C709" s="39">
        <f t="shared" ref="C709:C772" ca="1" si="60">IF(L709&lt;=$A$2,1,0)</f>
        <v>0</v>
      </c>
      <c r="D709" t="s">
        <v>287</v>
      </c>
      <c r="E709" t="s">
        <v>241</v>
      </c>
      <c r="F709" s="7" t="s">
        <v>78</v>
      </c>
      <c r="G709" s="6" t="s">
        <v>681</v>
      </c>
      <c r="H709" s="2" t="s">
        <v>681</v>
      </c>
      <c r="I709" s="1">
        <v>14</v>
      </c>
      <c r="J709" s="1">
        <v>5</v>
      </c>
      <c r="L709" s="45">
        <f t="shared" ref="L709:L772" si="61">IF(N709="",M709,N709)</f>
        <v>45723</v>
      </c>
      <c r="M709" s="46">
        <f t="shared" si="57"/>
        <v>45723</v>
      </c>
      <c r="Q709" s="43">
        <f t="shared" si="58"/>
        <v>0</v>
      </c>
      <c r="R709" s="43">
        <f t="shared" ca="1" si="59"/>
        <v>0</v>
      </c>
      <c r="S709" s="22"/>
      <c r="T709" s="25">
        <v>45709</v>
      </c>
    </row>
    <row r="710" spans="1:20" x14ac:dyDescent="0.3">
      <c r="A710" s="13">
        <v>707</v>
      </c>
      <c r="B710" s="1" t="s">
        <v>84</v>
      </c>
      <c r="C710" s="39">
        <f t="shared" ca="1" si="60"/>
        <v>0</v>
      </c>
      <c r="D710" t="s">
        <v>287</v>
      </c>
      <c r="E710" t="s">
        <v>406</v>
      </c>
      <c r="F710" s="7" t="s">
        <v>78</v>
      </c>
      <c r="G710" s="6" t="s">
        <v>681</v>
      </c>
      <c r="H710" s="2" t="s">
        <v>681</v>
      </c>
      <c r="I710" s="1">
        <v>14</v>
      </c>
      <c r="J710" s="1">
        <v>5</v>
      </c>
      <c r="L710" s="45">
        <f t="shared" si="61"/>
        <v>45724</v>
      </c>
      <c r="M710" s="46">
        <f t="shared" si="57"/>
        <v>45724</v>
      </c>
      <c r="Q710" s="43">
        <f t="shared" si="58"/>
        <v>0</v>
      </c>
      <c r="R710" s="43">
        <f t="shared" ca="1" si="59"/>
        <v>0</v>
      </c>
      <c r="S710" s="22"/>
      <c r="T710" s="25">
        <v>45710</v>
      </c>
    </row>
    <row r="711" spans="1:20" x14ac:dyDescent="0.3">
      <c r="A711" s="13">
        <v>708</v>
      </c>
      <c r="B711" s="1" t="s">
        <v>84</v>
      </c>
      <c r="C711" s="39">
        <f t="shared" ca="1" si="60"/>
        <v>0</v>
      </c>
      <c r="D711" t="s">
        <v>287</v>
      </c>
      <c r="E711" t="s">
        <v>407</v>
      </c>
      <c r="F711" s="7" t="s">
        <v>78</v>
      </c>
      <c r="G711" s="6" t="s">
        <v>681</v>
      </c>
      <c r="H711" s="2" t="s">
        <v>681</v>
      </c>
      <c r="I711" s="1">
        <v>14</v>
      </c>
      <c r="J711" s="1">
        <v>5</v>
      </c>
      <c r="L711" s="45">
        <f t="shared" si="61"/>
        <v>45725</v>
      </c>
      <c r="M711" s="46">
        <f t="shared" si="57"/>
        <v>45725</v>
      </c>
      <c r="Q711" s="43">
        <f t="shared" si="58"/>
        <v>0</v>
      </c>
      <c r="R711" s="43">
        <f t="shared" ca="1" si="59"/>
        <v>0</v>
      </c>
      <c r="S711" s="22"/>
      <c r="T711" s="25">
        <v>45711</v>
      </c>
    </row>
    <row r="712" spans="1:20" x14ac:dyDescent="0.3">
      <c r="A712" s="13">
        <v>709</v>
      </c>
      <c r="B712" s="1" t="s">
        <v>84</v>
      </c>
      <c r="C712" s="39">
        <f t="shared" ca="1" si="60"/>
        <v>0</v>
      </c>
      <c r="D712" t="s">
        <v>287</v>
      </c>
      <c r="E712" t="s">
        <v>408</v>
      </c>
      <c r="F712" s="7" t="s">
        <v>78</v>
      </c>
      <c r="G712" s="6" t="s">
        <v>681</v>
      </c>
      <c r="H712" s="2" t="s">
        <v>681</v>
      </c>
      <c r="I712" s="1">
        <v>14</v>
      </c>
      <c r="J712" s="1">
        <v>5</v>
      </c>
      <c r="L712" s="45">
        <f t="shared" si="61"/>
        <v>45726</v>
      </c>
      <c r="M712" s="46">
        <f t="shared" si="57"/>
        <v>45726</v>
      </c>
      <c r="Q712" s="43">
        <f t="shared" si="58"/>
        <v>0</v>
      </c>
      <c r="R712" s="43">
        <f t="shared" ca="1" si="59"/>
        <v>0</v>
      </c>
      <c r="S712" s="22"/>
      <c r="T712" s="25">
        <v>45712</v>
      </c>
    </row>
    <row r="713" spans="1:20" x14ac:dyDescent="0.3">
      <c r="A713" s="13">
        <v>710</v>
      </c>
      <c r="B713" s="1" t="s">
        <v>84</v>
      </c>
      <c r="C713" s="39">
        <f t="shared" ca="1" si="60"/>
        <v>0</v>
      </c>
      <c r="D713" t="s">
        <v>287</v>
      </c>
      <c r="E713" t="s">
        <v>409</v>
      </c>
      <c r="F713" s="7" t="s">
        <v>78</v>
      </c>
      <c r="G713" s="6" t="s">
        <v>681</v>
      </c>
      <c r="H713" s="2" t="s">
        <v>681</v>
      </c>
      <c r="I713" s="1">
        <v>14</v>
      </c>
      <c r="J713" s="1">
        <v>5</v>
      </c>
      <c r="L713" s="45">
        <f t="shared" si="61"/>
        <v>45727</v>
      </c>
      <c r="M713" s="46">
        <f t="shared" si="57"/>
        <v>45727</v>
      </c>
      <c r="Q713" s="43">
        <f t="shared" si="58"/>
        <v>0</v>
      </c>
      <c r="R713" s="43">
        <f t="shared" ca="1" si="59"/>
        <v>0</v>
      </c>
      <c r="S713" s="22"/>
      <c r="T713" s="25">
        <v>45713</v>
      </c>
    </row>
    <row r="714" spans="1:20" x14ac:dyDescent="0.3">
      <c r="A714" s="13">
        <v>711</v>
      </c>
      <c r="B714" s="1" t="s">
        <v>84</v>
      </c>
      <c r="C714" s="39">
        <f t="shared" ca="1" si="60"/>
        <v>0</v>
      </c>
      <c r="D714" t="s">
        <v>287</v>
      </c>
      <c r="E714" t="s">
        <v>410</v>
      </c>
      <c r="F714" s="7" t="s">
        <v>78</v>
      </c>
      <c r="G714" s="6" t="s">
        <v>681</v>
      </c>
      <c r="H714" s="2" t="s">
        <v>681</v>
      </c>
      <c r="I714" s="1">
        <v>14</v>
      </c>
      <c r="J714" s="1">
        <v>5</v>
      </c>
      <c r="L714" s="45">
        <f t="shared" si="61"/>
        <v>45728</v>
      </c>
      <c r="M714" s="46">
        <f t="shared" si="57"/>
        <v>45728</v>
      </c>
      <c r="Q714" s="43">
        <f t="shared" si="58"/>
        <v>0</v>
      </c>
      <c r="R714" s="43">
        <f t="shared" ca="1" si="59"/>
        <v>0</v>
      </c>
      <c r="S714" s="22"/>
      <c r="T714" s="25">
        <v>45714</v>
      </c>
    </row>
    <row r="715" spans="1:20" x14ac:dyDescent="0.3">
      <c r="A715" s="13">
        <v>712</v>
      </c>
      <c r="B715" s="1" t="s">
        <v>84</v>
      </c>
      <c r="C715" s="39">
        <f t="shared" ca="1" si="60"/>
        <v>0</v>
      </c>
      <c r="D715" t="s">
        <v>287</v>
      </c>
      <c r="E715" t="s">
        <v>411</v>
      </c>
      <c r="F715" s="7" t="s">
        <v>78</v>
      </c>
      <c r="G715" s="6" t="s">
        <v>681</v>
      </c>
      <c r="H715" s="2" t="s">
        <v>681</v>
      </c>
      <c r="I715" s="1">
        <v>14</v>
      </c>
      <c r="J715" s="1">
        <v>5</v>
      </c>
      <c r="L715" s="45">
        <f t="shared" si="61"/>
        <v>45729</v>
      </c>
      <c r="M715" s="46">
        <f t="shared" si="57"/>
        <v>45729</v>
      </c>
      <c r="Q715" s="43">
        <f t="shared" si="58"/>
        <v>0</v>
      </c>
      <c r="R715" s="43">
        <f t="shared" ca="1" si="59"/>
        <v>0</v>
      </c>
      <c r="S715" s="22"/>
      <c r="T715" s="25">
        <v>45715</v>
      </c>
    </row>
    <row r="716" spans="1:20" x14ac:dyDescent="0.3">
      <c r="A716" s="13">
        <v>713</v>
      </c>
      <c r="B716" s="1" t="s">
        <v>84</v>
      </c>
      <c r="C716" s="39">
        <f t="shared" ca="1" si="60"/>
        <v>0</v>
      </c>
      <c r="D716" t="s">
        <v>287</v>
      </c>
      <c r="E716" t="s">
        <v>412</v>
      </c>
      <c r="F716" s="7" t="s">
        <v>78</v>
      </c>
      <c r="G716" s="6" t="s">
        <v>681</v>
      </c>
      <c r="H716" s="2" t="s">
        <v>681</v>
      </c>
      <c r="I716" s="1">
        <v>14</v>
      </c>
      <c r="J716" s="1">
        <v>5</v>
      </c>
      <c r="L716" s="45">
        <f t="shared" si="61"/>
        <v>45730</v>
      </c>
      <c r="M716" s="46">
        <f t="shared" si="57"/>
        <v>45730</v>
      </c>
      <c r="Q716" s="43">
        <f t="shared" si="58"/>
        <v>0</v>
      </c>
      <c r="R716" s="43">
        <f t="shared" ca="1" si="59"/>
        <v>0</v>
      </c>
      <c r="S716" s="22"/>
      <c r="T716" s="25">
        <v>45716</v>
      </c>
    </row>
    <row r="717" spans="1:20" x14ac:dyDescent="0.3">
      <c r="A717" s="13">
        <v>714</v>
      </c>
      <c r="B717" s="1" t="s">
        <v>84</v>
      </c>
      <c r="C717" s="39">
        <f t="shared" ca="1" si="60"/>
        <v>0</v>
      </c>
      <c r="D717" t="s">
        <v>287</v>
      </c>
      <c r="E717" t="s">
        <v>413</v>
      </c>
      <c r="F717" s="7" t="s">
        <v>78</v>
      </c>
      <c r="G717" s="6" t="s">
        <v>681</v>
      </c>
      <c r="H717" s="2" t="s">
        <v>681</v>
      </c>
      <c r="I717" s="1">
        <v>14</v>
      </c>
      <c r="J717" s="1">
        <v>5</v>
      </c>
      <c r="L717" s="45">
        <f t="shared" si="61"/>
        <v>45731</v>
      </c>
      <c r="M717" s="46">
        <f t="shared" si="57"/>
        <v>45731</v>
      </c>
      <c r="Q717" s="43">
        <f t="shared" si="58"/>
        <v>0</v>
      </c>
      <c r="R717" s="43">
        <f t="shared" ca="1" si="59"/>
        <v>0</v>
      </c>
      <c r="S717" s="22"/>
      <c r="T717" s="25">
        <v>45717</v>
      </c>
    </row>
    <row r="718" spans="1:20" x14ac:dyDescent="0.3">
      <c r="A718" s="13">
        <v>715</v>
      </c>
      <c r="B718" s="1" t="s">
        <v>84</v>
      </c>
      <c r="C718" s="39">
        <f t="shared" ca="1" si="60"/>
        <v>0</v>
      </c>
      <c r="D718" t="s">
        <v>287</v>
      </c>
      <c r="E718" t="s">
        <v>414</v>
      </c>
      <c r="F718" s="7" t="s">
        <v>78</v>
      </c>
      <c r="G718" s="6" t="s">
        <v>681</v>
      </c>
      <c r="H718" s="2" t="s">
        <v>681</v>
      </c>
      <c r="I718" s="1">
        <v>14</v>
      </c>
      <c r="J718" s="1">
        <v>5</v>
      </c>
      <c r="L718" s="45">
        <f t="shared" si="61"/>
        <v>45732</v>
      </c>
      <c r="M718" s="46">
        <f t="shared" si="57"/>
        <v>45732</v>
      </c>
      <c r="Q718" s="43">
        <f t="shared" si="58"/>
        <v>0</v>
      </c>
      <c r="R718" s="43">
        <f t="shared" ca="1" si="59"/>
        <v>0</v>
      </c>
      <c r="S718" s="22"/>
      <c r="T718" s="25">
        <v>45718</v>
      </c>
    </row>
    <row r="719" spans="1:20" x14ac:dyDescent="0.3">
      <c r="A719" s="13">
        <v>716</v>
      </c>
      <c r="B719" s="1" t="s">
        <v>84</v>
      </c>
      <c r="C719" s="39">
        <f t="shared" ca="1" si="60"/>
        <v>0</v>
      </c>
      <c r="D719" t="s">
        <v>287</v>
      </c>
      <c r="E719" t="s">
        <v>415</v>
      </c>
      <c r="F719" s="7" t="s">
        <v>78</v>
      </c>
      <c r="G719" s="6" t="s">
        <v>681</v>
      </c>
      <c r="H719" s="2" t="s">
        <v>681</v>
      </c>
      <c r="I719" s="1">
        <v>14</v>
      </c>
      <c r="J719" s="1">
        <v>5</v>
      </c>
      <c r="L719" s="45">
        <f t="shared" si="61"/>
        <v>45733</v>
      </c>
      <c r="M719" s="46">
        <f t="shared" si="57"/>
        <v>45733</v>
      </c>
      <c r="Q719" s="43">
        <f t="shared" si="58"/>
        <v>0</v>
      </c>
      <c r="R719" s="43">
        <f t="shared" ca="1" si="59"/>
        <v>0</v>
      </c>
      <c r="S719" s="22"/>
      <c r="T719" s="25">
        <v>45719</v>
      </c>
    </row>
    <row r="720" spans="1:20" x14ac:dyDescent="0.3">
      <c r="A720" s="13">
        <v>717</v>
      </c>
      <c r="B720" s="1" t="s">
        <v>84</v>
      </c>
      <c r="C720" s="39">
        <f t="shared" ca="1" si="60"/>
        <v>0</v>
      </c>
      <c r="D720" t="s">
        <v>288</v>
      </c>
      <c r="E720" t="s">
        <v>189</v>
      </c>
      <c r="F720" s="7" t="s">
        <v>78</v>
      </c>
      <c r="G720" s="6" t="s">
        <v>681</v>
      </c>
      <c r="H720" s="2" t="s">
        <v>681</v>
      </c>
      <c r="I720" s="1">
        <v>14</v>
      </c>
      <c r="J720" s="1">
        <v>5</v>
      </c>
      <c r="L720" s="45">
        <f t="shared" si="61"/>
        <v>45734</v>
      </c>
      <c r="M720" s="46">
        <f t="shared" si="57"/>
        <v>45734</v>
      </c>
      <c r="Q720" s="43">
        <f t="shared" si="58"/>
        <v>0</v>
      </c>
      <c r="R720" s="43">
        <f t="shared" ca="1" si="59"/>
        <v>0</v>
      </c>
      <c r="S720" s="22"/>
      <c r="T720" s="25">
        <v>45720</v>
      </c>
    </row>
    <row r="721" spans="1:20" x14ac:dyDescent="0.3">
      <c r="A721" s="13">
        <v>718</v>
      </c>
      <c r="B721" s="1" t="s">
        <v>84</v>
      </c>
      <c r="C721" s="39">
        <f t="shared" ca="1" si="60"/>
        <v>0</v>
      </c>
      <c r="D721" t="s">
        <v>288</v>
      </c>
      <c r="E721" t="s">
        <v>415</v>
      </c>
      <c r="F721" s="7" t="s">
        <v>78</v>
      </c>
      <c r="G721" s="6" t="s">
        <v>681</v>
      </c>
      <c r="H721" s="2" t="s">
        <v>681</v>
      </c>
      <c r="I721" s="1">
        <v>14</v>
      </c>
      <c r="J721" s="1">
        <v>5</v>
      </c>
      <c r="L721" s="45">
        <f t="shared" si="61"/>
        <v>45735</v>
      </c>
      <c r="M721" s="46">
        <f t="shared" si="57"/>
        <v>45735</v>
      </c>
      <c r="Q721" s="43">
        <f t="shared" si="58"/>
        <v>0</v>
      </c>
      <c r="R721" s="43">
        <f t="shared" ca="1" si="59"/>
        <v>0</v>
      </c>
      <c r="S721" s="22"/>
      <c r="T721" s="25">
        <v>45721</v>
      </c>
    </row>
    <row r="722" spans="1:20" x14ac:dyDescent="0.3">
      <c r="A722" s="13">
        <v>719</v>
      </c>
      <c r="B722" s="1" t="s">
        <v>84</v>
      </c>
      <c r="C722" s="39">
        <f t="shared" ca="1" si="60"/>
        <v>0</v>
      </c>
      <c r="D722" t="s">
        <v>289</v>
      </c>
      <c r="E722" t="s">
        <v>416</v>
      </c>
      <c r="F722" s="7" t="s">
        <v>78</v>
      </c>
      <c r="G722" s="6" t="s">
        <v>681</v>
      </c>
      <c r="H722" s="2" t="s">
        <v>681</v>
      </c>
      <c r="I722" s="1">
        <v>14</v>
      </c>
      <c r="J722" s="1">
        <v>5</v>
      </c>
      <c r="L722" s="45">
        <f t="shared" si="61"/>
        <v>45736</v>
      </c>
      <c r="M722" s="46">
        <f t="shared" si="57"/>
        <v>45736</v>
      </c>
      <c r="Q722" s="43">
        <f t="shared" si="58"/>
        <v>0</v>
      </c>
      <c r="R722" s="43">
        <f t="shared" ca="1" si="59"/>
        <v>0</v>
      </c>
      <c r="S722" s="22"/>
      <c r="T722" s="25">
        <v>45722</v>
      </c>
    </row>
    <row r="723" spans="1:20" x14ac:dyDescent="0.3">
      <c r="A723" s="13">
        <v>720</v>
      </c>
      <c r="B723" s="1" t="s">
        <v>84</v>
      </c>
      <c r="C723" s="39">
        <f t="shared" ca="1" si="60"/>
        <v>0</v>
      </c>
      <c r="D723" t="s">
        <v>289</v>
      </c>
      <c r="E723" t="s">
        <v>417</v>
      </c>
      <c r="F723" s="7" t="s">
        <v>78</v>
      </c>
      <c r="G723" s="6" t="s">
        <v>681</v>
      </c>
      <c r="H723" s="2" t="s">
        <v>681</v>
      </c>
      <c r="I723" s="1">
        <v>14</v>
      </c>
      <c r="J723" s="1">
        <v>5</v>
      </c>
      <c r="L723" s="45">
        <f t="shared" si="61"/>
        <v>45737</v>
      </c>
      <c r="M723" s="46">
        <f t="shared" si="57"/>
        <v>45737</v>
      </c>
      <c r="Q723" s="43">
        <f t="shared" si="58"/>
        <v>0</v>
      </c>
      <c r="R723" s="43">
        <f t="shared" ca="1" si="59"/>
        <v>0</v>
      </c>
      <c r="S723" s="22"/>
      <c r="T723" s="25">
        <v>45723</v>
      </c>
    </row>
    <row r="724" spans="1:20" x14ac:dyDescent="0.3">
      <c r="A724" s="13">
        <v>721</v>
      </c>
      <c r="B724" s="1" t="s">
        <v>84</v>
      </c>
      <c r="C724" s="39">
        <f t="shared" ca="1" si="60"/>
        <v>0</v>
      </c>
      <c r="D724" t="s">
        <v>289</v>
      </c>
      <c r="E724" t="s">
        <v>418</v>
      </c>
      <c r="F724" s="7" t="s">
        <v>78</v>
      </c>
      <c r="G724" s="6" t="s">
        <v>681</v>
      </c>
      <c r="H724" s="2" t="s">
        <v>681</v>
      </c>
      <c r="I724" s="1">
        <v>14</v>
      </c>
      <c r="J724" s="1">
        <v>5</v>
      </c>
      <c r="L724" s="45">
        <f t="shared" si="61"/>
        <v>45738</v>
      </c>
      <c r="M724" s="46">
        <f t="shared" si="57"/>
        <v>45738</v>
      </c>
      <c r="Q724" s="43">
        <f t="shared" si="58"/>
        <v>0</v>
      </c>
      <c r="R724" s="43">
        <f t="shared" ca="1" si="59"/>
        <v>0</v>
      </c>
      <c r="S724" s="22"/>
      <c r="T724" s="25">
        <v>45724</v>
      </c>
    </row>
    <row r="725" spans="1:20" x14ac:dyDescent="0.3">
      <c r="A725" s="13">
        <v>722</v>
      </c>
      <c r="B725" s="1" t="s">
        <v>84</v>
      </c>
      <c r="C725" s="39">
        <f t="shared" ca="1" si="60"/>
        <v>0</v>
      </c>
      <c r="D725" t="s">
        <v>289</v>
      </c>
      <c r="E725" t="s">
        <v>231</v>
      </c>
      <c r="F725" s="7" t="s">
        <v>78</v>
      </c>
      <c r="G725" s="6" t="s">
        <v>681</v>
      </c>
      <c r="H725" s="2" t="s">
        <v>681</v>
      </c>
      <c r="I725" s="1">
        <v>14</v>
      </c>
      <c r="J725" s="1">
        <v>5</v>
      </c>
      <c r="L725" s="45">
        <f t="shared" si="61"/>
        <v>45739</v>
      </c>
      <c r="M725" s="46">
        <f t="shared" si="57"/>
        <v>45739</v>
      </c>
      <c r="Q725" s="43">
        <f t="shared" si="58"/>
        <v>0</v>
      </c>
      <c r="R725" s="43">
        <f t="shared" ca="1" si="59"/>
        <v>0</v>
      </c>
      <c r="S725" s="22"/>
      <c r="T725" s="25">
        <v>45725</v>
      </c>
    </row>
    <row r="726" spans="1:20" x14ac:dyDescent="0.3">
      <c r="A726" s="13">
        <v>723</v>
      </c>
      <c r="B726" s="1" t="s">
        <v>84</v>
      </c>
      <c r="C726" s="39">
        <f t="shared" ca="1" si="60"/>
        <v>0</v>
      </c>
      <c r="D726" t="s">
        <v>289</v>
      </c>
      <c r="E726" t="s">
        <v>419</v>
      </c>
      <c r="F726" s="7" t="s">
        <v>78</v>
      </c>
      <c r="G726" s="6" t="s">
        <v>681</v>
      </c>
      <c r="H726" s="2" t="s">
        <v>681</v>
      </c>
      <c r="I726" s="1">
        <v>14</v>
      </c>
      <c r="J726" s="1">
        <v>5</v>
      </c>
      <c r="L726" s="45">
        <f t="shared" si="61"/>
        <v>45740</v>
      </c>
      <c r="M726" s="46">
        <f t="shared" si="57"/>
        <v>45740</v>
      </c>
      <c r="Q726" s="43">
        <f t="shared" si="58"/>
        <v>0</v>
      </c>
      <c r="R726" s="43">
        <f t="shared" ca="1" si="59"/>
        <v>0</v>
      </c>
      <c r="S726" s="22"/>
      <c r="T726" s="25">
        <v>45726</v>
      </c>
    </row>
    <row r="727" spans="1:20" x14ac:dyDescent="0.3">
      <c r="A727" s="13">
        <v>724</v>
      </c>
      <c r="B727" s="1" t="s">
        <v>84</v>
      </c>
      <c r="C727" s="39">
        <f t="shared" ca="1" si="60"/>
        <v>0</v>
      </c>
      <c r="D727" t="s">
        <v>289</v>
      </c>
      <c r="E727" t="s">
        <v>420</v>
      </c>
      <c r="F727" s="7" t="s">
        <v>78</v>
      </c>
      <c r="G727" s="6" t="s">
        <v>681</v>
      </c>
      <c r="H727" s="2" t="s">
        <v>681</v>
      </c>
      <c r="I727" s="1">
        <v>14</v>
      </c>
      <c r="J727" s="1">
        <v>5</v>
      </c>
      <c r="L727" s="45">
        <f t="shared" si="61"/>
        <v>45741</v>
      </c>
      <c r="M727" s="46">
        <f t="shared" si="57"/>
        <v>45741</v>
      </c>
      <c r="Q727" s="43">
        <f t="shared" si="58"/>
        <v>0</v>
      </c>
      <c r="R727" s="43">
        <f t="shared" ca="1" si="59"/>
        <v>0</v>
      </c>
      <c r="S727" s="22"/>
      <c r="T727" s="25">
        <v>45727</v>
      </c>
    </row>
    <row r="728" spans="1:20" x14ac:dyDescent="0.3">
      <c r="A728" s="13">
        <v>725</v>
      </c>
      <c r="B728" s="1" t="s">
        <v>84</v>
      </c>
      <c r="C728" s="39">
        <f t="shared" ca="1" si="60"/>
        <v>0</v>
      </c>
      <c r="D728" t="s">
        <v>289</v>
      </c>
      <c r="E728" t="s">
        <v>421</v>
      </c>
      <c r="F728" s="7" t="s">
        <v>78</v>
      </c>
      <c r="G728" s="6" t="s">
        <v>681</v>
      </c>
      <c r="H728" s="2" t="s">
        <v>681</v>
      </c>
      <c r="I728" s="1">
        <v>14</v>
      </c>
      <c r="J728" s="1">
        <v>5</v>
      </c>
      <c r="L728" s="45">
        <f t="shared" si="61"/>
        <v>45742</v>
      </c>
      <c r="M728" s="46">
        <f t="shared" si="57"/>
        <v>45742</v>
      </c>
      <c r="Q728" s="43">
        <f t="shared" si="58"/>
        <v>0</v>
      </c>
      <c r="R728" s="43">
        <f t="shared" ca="1" si="59"/>
        <v>0</v>
      </c>
      <c r="S728" s="22"/>
      <c r="T728" s="25">
        <v>45728</v>
      </c>
    </row>
    <row r="729" spans="1:20" x14ac:dyDescent="0.3">
      <c r="A729" s="13">
        <v>726</v>
      </c>
      <c r="B729" s="1" t="s">
        <v>84</v>
      </c>
      <c r="C729" s="39">
        <f t="shared" ca="1" si="60"/>
        <v>0</v>
      </c>
      <c r="D729" t="s">
        <v>289</v>
      </c>
      <c r="E729" t="s">
        <v>422</v>
      </c>
      <c r="F729" s="7" t="s">
        <v>78</v>
      </c>
      <c r="G729" s="6" t="s">
        <v>681</v>
      </c>
      <c r="H729" s="2" t="s">
        <v>681</v>
      </c>
      <c r="I729" s="1">
        <v>14</v>
      </c>
      <c r="J729" s="1">
        <v>5</v>
      </c>
      <c r="L729" s="45">
        <f t="shared" si="61"/>
        <v>45743</v>
      </c>
      <c r="M729" s="46">
        <f t="shared" si="57"/>
        <v>45743</v>
      </c>
      <c r="Q729" s="43">
        <f t="shared" si="58"/>
        <v>0</v>
      </c>
      <c r="R729" s="43">
        <f t="shared" ca="1" si="59"/>
        <v>0</v>
      </c>
      <c r="S729" s="22"/>
      <c r="T729" s="25">
        <v>45729</v>
      </c>
    </row>
    <row r="730" spans="1:20" x14ac:dyDescent="0.3">
      <c r="A730" s="13">
        <v>727</v>
      </c>
      <c r="B730" s="1" t="s">
        <v>84</v>
      </c>
      <c r="C730" s="39">
        <f t="shared" ca="1" si="60"/>
        <v>0</v>
      </c>
      <c r="D730" t="s">
        <v>289</v>
      </c>
      <c r="E730" t="s">
        <v>423</v>
      </c>
      <c r="F730" s="7" t="s">
        <v>78</v>
      </c>
      <c r="G730" s="6" t="s">
        <v>681</v>
      </c>
      <c r="H730" s="2" t="s">
        <v>681</v>
      </c>
      <c r="I730" s="1">
        <v>14</v>
      </c>
      <c r="J730" s="1">
        <v>5</v>
      </c>
      <c r="L730" s="45">
        <f t="shared" si="61"/>
        <v>45744</v>
      </c>
      <c r="M730" s="46">
        <f t="shared" si="57"/>
        <v>45744</v>
      </c>
      <c r="Q730" s="43">
        <f t="shared" si="58"/>
        <v>0</v>
      </c>
      <c r="R730" s="43">
        <f t="shared" ca="1" si="59"/>
        <v>0</v>
      </c>
      <c r="S730" s="22"/>
      <c r="T730" s="25">
        <v>45730</v>
      </c>
    </row>
    <row r="731" spans="1:20" x14ac:dyDescent="0.3">
      <c r="A731" s="13">
        <v>728</v>
      </c>
      <c r="B731" s="1" t="s">
        <v>84</v>
      </c>
      <c r="C731" s="39">
        <f t="shared" ca="1" si="60"/>
        <v>0</v>
      </c>
      <c r="D731" t="s">
        <v>289</v>
      </c>
      <c r="E731" t="s">
        <v>424</v>
      </c>
      <c r="F731" s="7" t="s">
        <v>78</v>
      </c>
      <c r="G731" s="6" t="s">
        <v>681</v>
      </c>
      <c r="H731" s="2" t="s">
        <v>681</v>
      </c>
      <c r="I731" s="1">
        <v>14</v>
      </c>
      <c r="J731" s="1">
        <v>5</v>
      </c>
      <c r="L731" s="45">
        <f t="shared" si="61"/>
        <v>45745</v>
      </c>
      <c r="M731" s="46">
        <f t="shared" si="57"/>
        <v>45745</v>
      </c>
      <c r="Q731" s="43">
        <f t="shared" si="58"/>
        <v>0</v>
      </c>
      <c r="R731" s="43">
        <f t="shared" ca="1" si="59"/>
        <v>0</v>
      </c>
      <c r="S731" s="22"/>
      <c r="T731" s="25">
        <v>45731</v>
      </c>
    </row>
    <row r="732" spans="1:20" x14ac:dyDescent="0.3">
      <c r="A732" s="13">
        <v>729</v>
      </c>
      <c r="B732" s="1" t="s">
        <v>84</v>
      </c>
      <c r="C732" s="39">
        <f t="shared" ca="1" si="60"/>
        <v>0</v>
      </c>
      <c r="D732" t="s">
        <v>289</v>
      </c>
      <c r="E732" t="s">
        <v>425</v>
      </c>
      <c r="F732" s="7" t="s">
        <v>78</v>
      </c>
      <c r="G732" s="6" t="s">
        <v>681</v>
      </c>
      <c r="H732" s="2" t="s">
        <v>681</v>
      </c>
      <c r="I732" s="1">
        <v>14</v>
      </c>
      <c r="J732" s="1">
        <v>5</v>
      </c>
      <c r="L732" s="45">
        <f t="shared" si="61"/>
        <v>45746</v>
      </c>
      <c r="M732" s="46">
        <f t="shared" si="57"/>
        <v>45746</v>
      </c>
      <c r="Q732" s="43">
        <f t="shared" si="58"/>
        <v>0</v>
      </c>
      <c r="R732" s="43">
        <f t="shared" ca="1" si="59"/>
        <v>0</v>
      </c>
      <c r="S732" s="22"/>
      <c r="T732" s="25">
        <v>45732</v>
      </c>
    </row>
    <row r="733" spans="1:20" x14ac:dyDescent="0.3">
      <c r="A733" s="13">
        <v>730</v>
      </c>
      <c r="B733" s="1" t="s">
        <v>84</v>
      </c>
      <c r="C733" s="39">
        <f t="shared" ca="1" si="60"/>
        <v>0</v>
      </c>
      <c r="D733" t="s">
        <v>289</v>
      </c>
      <c r="E733" t="s">
        <v>426</v>
      </c>
      <c r="F733" s="7" t="s">
        <v>78</v>
      </c>
      <c r="G733" s="6" t="s">
        <v>681</v>
      </c>
      <c r="H733" s="2" t="s">
        <v>681</v>
      </c>
      <c r="I733" s="1">
        <v>14</v>
      </c>
      <c r="J733" s="1">
        <v>5</v>
      </c>
      <c r="L733" s="45">
        <f t="shared" si="61"/>
        <v>45747</v>
      </c>
      <c r="M733" s="46">
        <f t="shared" si="57"/>
        <v>45747</v>
      </c>
      <c r="Q733" s="43">
        <f t="shared" si="58"/>
        <v>0</v>
      </c>
      <c r="R733" s="43">
        <f t="shared" ca="1" si="59"/>
        <v>0</v>
      </c>
      <c r="S733" s="22"/>
      <c r="T733" s="25">
        <v>45733</v>
      </c>
    </row>
    <row r="734" spans="1:20" x14ac:dyDescent="0.3">
      <c r="A734" s="13">
        <v>731</v>
      </c>
      <c r="B734" s="1" t="s">
        <v>84</v>
      </c>
      <c r="C734" s="39">
        <f t="shared" ca="1" si="60"/>
        <v>0</v>
      </c>
      <c r="D734" t="s">
        <v>289</v>
      </c>
      <c r="E734" t="s">
        <v>427</v>
      </c>
      <c r="F734" s="7" t="s">
        <v>78</v>
      </c>
      <c r="G734" s="6" t="s">
        <v>681</v>
      </c>
      <c r="H734" s="2" t="s">
        <v>681</v>
      </c>
      <c r="I734" s="1">
        <v>14</v>
      </c>
      <c r="J734" s="1">
        <v>5</v>
      </c>
      <c r="L734" s="45">
        <f t="shared" si="61"/>
        <v>45748</v>
      </c>
      <c r="M734" s="46">
        <f t="shared" si="57"/>
        <v>45748</v>
      </c>
      <c r="Q734" s="43">
        <f t="shared" si="58"/>
        <v>0</v>
      </c>
      <c r="R734" s="43">
        <f t="shared" ca="1" si="59"/>
        <v>0</v>
      </c>
      <c r="S734" s="22"/>
      <c r="T734" s="25">
        <v>45734</v>
      </c>
    </row>
    <row r="735" spans="1:20" x14ac:dyDescent="0.3">
      <c r="A735" s="13">
        <v>732</v>
      </c>
      <c r="B735" s="1" t="s">
        <v>84</v>
      </c>
      <c r="C735" s="39">
        <f t="shared" ca="1" si="60"/>
        <v>0</v>
      </c>
      <c r="D735" t="s">
        <v>289</v>
      </c>
      <c r="E735" t="s">
        <v>428</v>
      </c>
      <c r="F735" s="7" t="s">
        <v>78</v>
      </c>
      <c r="G735" s="6" t="s">
        <v>681</v>
      </c>
      <c r="H735" s="2" t="s">
        <v>681</v>
      </c>
      <c r="I735" s="1">
        <v>14</v>
      </c>
      <c r="J735" s="1">
        <v>5</v>
      </c>
      <c r="L735" s="45">
        <f t="shared" si="61"/>
        <v>45749</v>
      </c>
      <c r="M735" s="46">
        <f t="shared" si="57"/>
        <v>45749</v>
      </c>
      <c r="Q735" s="43">
        <f t="shared" si="58"/>
        <v>0</v>
      </c>
      <c r="R735" s="43">
        <f t="shared" ca="1" si="59"/>
        <v>0</v>
      </c>
      <c r="S735" s="22"/>
      <c r="T735" s="25">
        <v>45735</v>
      </c>
    </row>
    <row r="736" spans="1:20" x14ac:dyDescent="0.3">
      <c r="A736" s="13">
        <v>733</v>
      </c>
      <c r="B736" s="1" t="s">
        <v>84</v>
      </c>
      <c r="C736" s="39">
        <f t="shared" ca="1" si="60"/>
        <v>0</v>
      </c>
      <c r="D736" t="s">
        <v>289</v>
      </c>
      <c r="E736" t="s">
        <v>429</v>
      </c>
      <c r="F736" s="7" t="s">
        <v>78</v>
      </c>
      <c r="G736" s="6" t="s">
        <v>681</v>
      </c>
      <c r="H736" s="2" t="s">
        <v>681</v>
      </c>
      <c r="I736" s="1">
        <v>14</v>
      </c>
      <c r="J736" s="1">
        <v>5</v>
      </c>
      <c r="L736" s="45">
        <f t="shared" si="61"/>
        <v>45750</v>
      </c>
      <c r="M736" s="46">
        <f t="shared" si="57"/>
        <v>45750</v>
      </c>
      <c r="Q736" s="43">
        <f t="shared" si="58"/>
        <v>0</v>
      </c>
      <c r="R736" s="43">
        <f t="shared" ca="1" si="59"/>
        <v>0</v>
      </c>
      <c r="S736" s="22"/>
      <c r="T736" s="25">
        <v>45736</v>
      </c>
    </row>
    <row r="737" spans="1:20" x14ac:dyDescent="0.3">
      <c r="A737" s="13">
        <v>734</v>
      </c>
      <c r="B737" s="1" t="s">
        <v>84</v>
      </c>
      <c r="C737" s="39">
        <f t="shared" ca="1" si="60"/>
        <v>0</v>
      </c>
      <c r="D737" t="s">
        <v>289</v>
      </c>
      <c r="E737" t="s">
        <v>430</v>
      </c>
      <c r="F737" s="7" t="s">
        <v>78</v>
      </c>
      <c r="G737" s="6" t="s">
        <v>681</v>
      </c>
      <c r="H737" s="2" t="s">
        <v>681</v>
      </c>
      <c r="I737" s="1">
        <v>14</v>
      </c>
      <c r="J737" s="1">
        <v>5</v>
      </c>
      <c r="L737" s="45">
        <f t="shared" si="61"/>
        <v>45751</v>
      </c>
      <c r="M737" s="46">
        <f t="shared" ref="M737:M800" si="62">T737+I737</f>
        <v>45751</v>
      </c>
      <c r="Q737" s="43">
        <f t="shared" ref="Q737:Q800" si="63">IF(O737&lt;&gt;0,1,0)</f>
        <v>0</v>
      </c>
      <c r="R737" s="43">
        <f t="shared" ref="R737:R800" ca="1" si="64">IF(AND(L737&lt;($A$2+7), L737&gt;($A$2+6)),1,0)</f>
        <v>0</v>
      </c>
      <c r="S737" s="22"/>
      <c r="T737" s="25">
        <v>45737</v>
      </c>
    </row>
    <row r="738" spans="1:20" x14ac:dyDescent="0.3">
      <c r="A738" s="13">
        <v>735</v>
      </c>
      <c r="B738" s="1" t="s">
        <v>84</v>
      </c>
      <c r="C738" s="39">
        <f t="shared" ca="1" si="60"/>
        <v>0</v>
      </c>
      <c r="D738" t="s">
        <v>289</v>
      </c>
      <c r="E738" t="s">
        <v>431</v>
      </c>
      <c r="F738" s="7" t="s">
        <v>78</v>
      </c>
      <c r="G738" s="6" t="s">
        <v>681</v>
      </c>
      <c r="H738" s="2" t="s">
        <v>681</v>
      </c>
      <c r="I738" s="1">
        <v>14</v>
      </c>
      <c r="J738" s="1">
        <v>5</v>
      </c>
      <c r="L738" s="45">
        <f t="shared" si="61"/>
        <v>45752</v>
      </c>
      <c r="M738" s="46">
        <f t="shared" si="62"/>
        <v>45752</v>
      </c>
      <c r="Q738" s="43">
        <f t="shared" si="63"/>
        <v>0</v>
      </c>
      <c r="R738" s="43">
        <f t="shared" ca="1" si="64"/>
        <v>0</v>
      </c>
      <c r="S738" s="22"/>
      <c r="T738" s="25">
        <v>45738</v>
      </c>
    </row>
    <row r="739" spans="1:20" x14ac:dyDescent="0.3">
      <c r="A739" s="13">
        <v>736</v>
      </c>
      <c r="B739" s="1" t="s">
        <v>84</v>
      </c>
      <c r="C739" s="39">
        <f t="shared" ca="1" si="60"/>
        <v>0</v>
      </c>
      <c r="D739" t="s">
        <v>289</v>
      </c>
      <c r="E739" t="s">
        <v>432</v>
      </c>
      <c r="F739" s="7" t="s">
        <v>78</v>
      </c>
      <c r="G739" s="6" t="s">
        <v>681</v>
      </c>
      <c r="H739" s="2" t="s">
        <v>681</v>
      </c>
      <c r="I739" s="1">
        <v>14</v>
      </c>
      <c r="J739" s="1">
        <v>5</v>
      </c>
      <c r="L739" s="45">
        <f t="shared" si="61"/>
        <v>45753</v>
      </c>
      <c r="M739" s="46">
        <f t="shared" si="62"/>
        <v>45753</v>
      </c>
      <c r="Q739" s="43">
        <f t="shared" si="63"/>
        <v>0</v>
      </c>
      <c r="R739" s="43">
        <f t="shared" ca="1" si="64"/>
        <v>0</v>
      </c>
      <c r="S739" s="22"/>
      <c r="T739" s="25">
        <v>45739</v>
      </c>
    </row>
    <row r="740" spans="1:20" x14ac:dyDescent="0.3">
      <c r="A740" s="13">
        <v>737</v>
      </c>
      <c r="B740" s="1" t="s">
        <v>84</v>
      </c>
      <c r="C740" s="39">
        <f t="shared" ca="1" si="60"/>
        <v>0</v>
      </c>
      <c r="D740" t="s">
        <v>289</v>
      </c>
      <c r="E740" t="s">
        <v>433</v>
      </c>
      <c r="F740" s="7" t="s">
        <v>78</v>
      </c>
      <c r="G740" s="6" t="s">
        <v>681</v>
      </c>
      <c r="H740" s="2" t="s">
        <v>681</v>
      </c>
      <c r="I740" s="1">
        <v>180</v>
      </c>
      <c r="J740" s="1">
        <v>5</v>
      </c>
      <c r="L740" s="45">
        <f t="shared" si="61"/>
        <v>45920</v>
      </c>
      <c r="M740" s="46">
        <f t="shared" si="62"/>
        <v>45920</v>
      </c>
      <c r="Q740" s="43">
        <f t="shared" si="63"/>
        <v>0</v>
      </c>
      <c r="R740" s="43">
        <f t="shared" ca="1" si="64"/>
        <v>0</v>
      </c>
      <c r="S740" s="22"/>
      <c r="T740" s="25">
        <v>45740</v>
      </c>
    </row>
    <row r="741" spans="1:20" x14ac:dyDescent="0.3">
      <c r="A741" s="13">
        <v>738</v>
      </c>
      <c r="B741" s="1" t="s">
        <v>84</v>
      </c>
      <c r="C741" s="39">
        <f t="shared" ca="1" si="60"/>
        <v>0</v>
      </c>
      <c r="D741" t="s">
        <v>289</v>
      </c>
      <c r="E741" t="s">
        <v>189</v>
      </c>
      <c r="F741" s="7" t="s">
        <v>78</v>
      </c>
      <c r="G741" s="6" t="s">
        <v>681</v>
      </c>
      <c r="H741" s="2" t="s">
        <v>681</v>
      </c>
      <c r="I741" s="1">
        <v>14</v>
      </c>
      <c r="J741" s="1">
        <v>5</v>
      </c>
      <c r="L741" s="45">
        <f t="shared" si="61"/>
        <v>45755</v>
      </c>
      <c r="M741" s="46">
        <f t="shared" si="62"/>
        <v>45755</v>
      </c>
      <c r="Q741" s="43">
        <f t="shared" si="63"/>
        <v>0</v>
      </c>
      <c r="R741" s="43">
        <f t="shared" ca="1" si="64"/>
        <v>0</v>
      </c>
      <c r="S741" s="22"/>
      <c r="T741" s="25">
        <v>45741</v>
      </c>
    </row>
    <row r="742" spans="1:20" x14ac:dyDescent="0.3">
      <c r="A742" s="13">
        <v>739</v>
      </c>
      <c r="B742" s="1" t="s">
        <v>84</v>
      </c>
      <c r="C742" s="39">
        <f t="shared" ca="1" si="60"/>
        <v>0</v>
      </c>
      <c r="D742" t="s">
        <v>289</v>
      </c>
      <c r="E742" t="s">
        <v>415</v>
      </c>
      <c r="F742" s="7" t="s">
        <v>78</v>
      </c>
      <c r="G742" s="6" t="s">
        <v>681</v>
      </c>
      <c r="H742" s="2" t="s">
        <v>681</v>
      </c>
      <c r="I742" s="1">
        <v>14</v>
      </c>
      <c r="J742" s="1">
        <v>5</v>
      </c>
      <c r="L742" s="45">
        <f t="shared" si="61"/>
        <v>45756</v>
      </c>
      <c r="M742" s="46">
        <f t="shared" si="62"/>
        <v>45756</v>
      </c>
      <c r="Q742" s="43">
        <f t="shared" si="63"/>
        <v>0</v>
      </c>
      <c r="R742" s="43">
        <f t="shared" ca="1" si="64"/>
        <v>0</v>
      </c>
      <c r="S742" s="22"/>
      <c r="T742" s="25">
        <v>45742</v>
      </c>
    </row>
    <row r="743" spans="1:20" x14ac:dyDescent="0.3">
      <c r="A743" s="13">
        <v>740</v>
      </c>
      <c r="B743" s="1" t="s">
        <v>84</v>
      </c>
      <c r="C743" s="39">
        <f t="shared" ca="1" si="60"/>
        <v>0</v>
      </c>
      <c r="D743" t="s">
        <v>289</v>
      </c>
      <c r="E743" t="s">
        <v>434</v>
      </c>
      <c r="F743" s="7" t="s">
        <v>78</v>
      </c>
      <c r="G743" s="6" t="s">
        <v>681</v>
      </c>
      <c r="H743" s="2" t="s">
        <v>681</v>
      </c>
      <c r="I743" s="1">
        <v>14</v>
      </c>
      <c r="J743" s="1">
        <v>5</v>
      </c>
      <c r="L743" s="45">
        <f t="shared" si="61"/>
        <v>45757</v>
      </c>
      <c r="M743" s="46">
        <f t="shared" si="62"/>
        <v>45757</v>
      </c>
      <c r="Q743" s="43">
        <f t="shared" si="63"/>
        <v>0</v>
      </c>
      <c r="R743" s="43">
        <f t="shared" ca="1" si="64"/>
        <v>0</v>
      </c>
      <c r="S743" s="22"/>
      <c r="T743" s="25">
        <v>45743</v>
      </c>
    </row>
    <row r="744" spans="1:20" x14ac:dyDescent="0.3">
      <c r="A744" s="13">
        <v>741</v>
      </c>
      <c r="B744" s="1" t="s">
        <v>84</v>
      </c>
      <c r="C744" s="39">
        <f t="shared" ca="1" si="60"/>
        <v>0</v>
      </c>
      <c r="D744" t="s">
        <v>290</v>
      </c>
      <c r="E744" t="s">
        <v>435</v>
      </c>
      <c r="F744" s="7" t="s">
        <v>78</v>
      </c>
      <c r="G744" s="6" t="s">
        <v>681</v>
      </c>
      <c r="H744" s="2" t="s">
        <v>681</v>
      </c>
      <c r="I744" s="1">
        <v>14</v>
      </c>
      <c r="J744" s="1">
        <v>5</v>
      </c>
      <c r="L744" s="45">
        <f t="shared" si="61"/>
        <v>45758</v>
      </c>
      <c r="M744" s="46">
        <f t="shared" si="62"/>
        <v>45758</v>
      </c>
      <c r="Q744" s="43">
        <f t="shared" si="63"/>
        <v>0</v>
      </c>
      <c r="R744" s="43">
        <f t="shared" ca="1" si="64"/>
        <v>0</v>
      </c>
      <c r="S744" s="22"/>
      <c r="T744" s="25">
        <v>45744</v>
      </c>
    </row>
    <row r="745" spans="1:20" x14ac:dyDescent="0.3">
      <c r="A745" s="13">
        <v>742</v>
      </c>
      <c r="B745" s="1" t="s">
        <v>84</v>
      </c>
      <c r="C745" s="39">
        <f t="shared" ca="1" si="60"/>
        <v>0</v>
      </c>
      <c r="D745" t="s">
        <v>290</v>
      </c>
      <c r="E745" t="s">
        <v>436</v>
      </c>
      <c r="F745" s="7" t="s">
        <v>78</v>
      </c>
      <c r="G745" s="6" t="s">
        <v>681</v>
      </c>
      <c r="H745" s="2" t="s">
        <v>681</v>
      </c>
      <c r="I745" s="1">
        <v>14</v>
      </c>
      <c r="J745" s="1">
        <v>5</v>
      </c>
      <c r="L745" s="45">
        <f t="shared" si="61"/>
        <v>45759</v>
      </c>
      <c r="M745" s="46">
        <f t="shared" si="62"/>
        <v>45759</v>
      </c>
      <c r="Q745" s="43">
        <f t="shared" si="63"/>
        <v>0</v>
      </c>
      <c r="R745" s="43">
        <f t="shared" ca="1" si="64"/>
        <v>0</v>
      </c>
      <c r="S745" s="22"/>
      <c r="T745" s="25">
        <v>45745</v>
      </c>
    </row>
    <row r="746" spans="1:20" x14ac:dyDescent="0.3">
      <c r="A746" s="13">
        <v>743</v>
      </c>
      <c r="B746" s="1" t="s">
        <v>84</v>
      </c>
      <c r="C746" s="39">
        <f t="shared" ca="1" si="60"/>
        <v>0</v>
      </c>
      <c r="D746" t="s">
        <v>290</v>
      </c>
      <c r="E746" t="s">
        <v>437</v>
      </c>
      <c r="F746" s="7" t="s">
        <v>78</v>
      </c>
      <c r="G746" s="6" t="s">
        <v>681</v>
      </c>
      <c r="H746" s="2" t="s">
        <v>681</v>
      </c>
      <c r="I746" s="1">
        <v>14</v>
      </c>
      <c r="J746" s="1">
        <v>5</v>
      </c>
      <c r="L746" s="45">
        <f t="shared" si="61"/>
        <v>45760</v>
      </c>
      <c r="M746" s="46">
        <f t="shared" si="62"/>
        <v>45760</v>
      </c>
      <c r="Q746" s="43">
        <f t="shared" si="63"/>
        <v>0</v>
      </c>
      <c r="R746" s="43">
        <f t="shared" ca="1" si="64"/>
        <v>0</v>
      </c>
      <c r="S746" s="22"/>
      <c r="T746" s="25">
        <v>45746</v>
      </c>
    </row>
    <row r="747" spans="1:20" x14ac:dyDescent="0.3">
      <c r="A747" s="13">
        <v>744</v>
      </c>
      <c r="B747" s="1" t="s">
        <v>84</v>
      </c>
      <c r="C747" s="39">
        <f t="shared" ca="1" si="60"/>
        <v>0</v>
      </c>
      <c r="D747" t="s">
        <v>290</v>
      </c>
      <c r="E747" t="s">
        <v>438</v>
      </c>
      <c r="F747" s="7" t="s">
        <v>78</v>
      </c>
      <c r="G747" s="6" t="s">
        <v>681</v>
      </c>
      <c r="H747" s="2" t="s">
        <v>681</v>
      </c>
      <c r="I747" s="1">
        <v>14</v>
      </c>
      <c r="J747" s="1">
        <v>5</v>
      </c>
      <c r="L747" s="45">
        <f t="shared" si="61"/>
        <v>45761</v>
      </c>
      <c r="M747" s="46">
        <f t="shared" si="62"/>
        <v>45761</v>
      </c>
      <c r="Q747" s="43">
        <f t="shared" si="63"/>
        <v>0</v>
      </c>
      <c r="R747" s="43">
        <f t="shared" ca="1" si="64"/>
        <v>0</v>
      </c>
      <c r="S747" s="22"/>
      <c r="T747" s="25">
        <v>45747</v>
      </c>
    </row>
    <row r="748" spans="1:20" x14ac:dyDescent="0.3">
      <c r="A748" s="13">
        <v>745</v>
      </c>
      <c r="B748" s="1" t="s">
        <v>84</v>
      </c>
      <c r="C748" s="39">
        <f t="shared" ca="1" si="60"/>
        <v>0</v>
      </c>
      <c r="D748" t="s">
        <v>290</v>
      </c>
      <c r="E748" t="s">
        <v>439</v>
      </c>
      <c r="F748" s="7" t="s">
        <v>78</v>
      </c>
      <c r="G748" s="6" t="s">
        <v>681</v>
      </c>
      <c r="H748" s="2" t="s">
        <v>681</v>
      </c>
      <c r="I748" s="1">
        <v>14</v>
      </c>
      <c r="J748" s="1">
        <v>5</v>
      </c>
      <c r="L748" s="45">
        <f t="shared" si="61"/>
        <v>45762</v>
      </c>
      <c r="M748" s="46">
        <f t="shared" si="62"/>
        <v>45762</v>
      </c>
      <c r="Q748" s="43">
        <f t="shared" si="63"/>
        <v>0</v>
      </c>
      <c r="R748" s="43">
        <f t="shared" ca="1" si="64"/>
        <v>0</v>
      </c>
      <c r="S748" s="22"/>
      <c r="T748" s="25">
        <v>45748</v>
      </c>
    </row>
    <row r="749" spans="1:20" x14ac:dyDescent="0.3">
      <c r="A749" s="13">
        <v>746</v>
      </c>
      <c r="B749" s="1" t="s">
        <v>84</v>
      </c>
      <c r="C749" s="39">
        <f t="shared" ca="1" si="60"/>
        <v>0</v>
      </c>
      <c r="D749" t="s">
        <v>290</v>
      </c>
      <c r="E749" t="s">
        <v>440</v>
      </c>
      <c r="F749" s="7" t="s">
        <v>78</v>
      </c>
      <c r="G749" s="6" t="s">
        <v>681</v>
      </c>
      <c r="H749" s="2" t="s">
        <v>681</v>
      </c>
      <c r="I749" s="1">
        <v>14</v>
      </c>
      <c r="J749" s="1">
        <v>5</v>
      </c>
      <c r="L749" s="45">
        <f t="shared" si="61"/>
        <v>45763</v>
      </c>
      <c r="M749" s="46">
        <f t="shared" si="62"/>
        <v>45763</v>
      </c>
      <c r="Q749" s="43">
        <f t="shared" si="63"/>
        <v>0</v>
      </c>
      <c r="R749" s="43">
        <f t="shared" ca="1" si="64"/>
        <v>0</v>
      </c>
      <c r="S749" s="22"/>
      <c r="T749" s="25">
        <v>45749</v>
      </c>
    </row>
    <row r="750" spans="1:20" x14ac:dyDescent="0.3">
      <c r="A750" s="13">
        <v>747</v>
      </c>
      <c r="B750" s="1" t="s">
        <v>84</v>
      </c>
      <c r="C750" s="39">
        <f t="shared" ca="1" si="60"/>
        <v>0</v>
      </c>
      <c r="D750" t="s">
        <v>290</v>
      </c>
      <c r="E750" t="s">
        <v>441</v>
      </c>
      <c r="F750" s="7" t="s">
        <v>78</v>
      </c>
      <c r="G750" s="6" t="s">
        <v>681</v>
      </c>
      <c r="H750" s="2" t="s">
        <v>681</v>
      </c>
      <c r="I750" s="1">
        <v>14</v>
      </c>
      <c r="J750" s="1">
        <v>5</v>
      </c>
      <c r="L750" s="45">
        <f t="shared" si="61"/>
        <v>45764</v>
      </c>
      <c r="M750" s="46">
        <f t="shared" si="62"/>
        <v>45764</v>
      </c>
      <c r="Q750" s="43">
        <f t="shared" si="63"/>
        <v>0</v>
      </c>
      <c r="R750" s="43">
        <f t="shared" ca="1" si="64"/>
        <v>0</v>
      </c>
      <c r="S750" s="22"/>
      <c r="T750" s="25">
        <v>45750</v>
      </c>
    </row>
    <row r="751" spans="1:20" x14ac:dyDescent="0.3">
      <c r="A751" s="13">
        <v>748</v>
      </c>
      <c r="B751" s="1" t="s">
        <v>84</v>
      </c>
      <c r="C751" s="39">
        <f t="shared" ca="1" si="60"/>
        <v>0</v>
      </c>
      <c r="D751" t="s">
        <v>290</v>
      </c>
      <c r="E751" t="s">
        <v>442</v>
      </c>
      <c r="F751" s="7" t="s">
        <v>78</v>
      </c>
      <c r="G751" s="6" t="s">
        <v>681</v>
      </c>
      <c r="H751" s="2" t="s">
        <v>681</v>
      </c>
      <c r="I751" s="1">
        <v>14</v>
      </c>
      <c r="J751" s="1">
        <v>5</v>
      </c>
      <c r="L751" s="45">
        <f t="shared" si="61"/>
        <v>45765</v>
      </c>
      <c r="M751" s="46">
        <f t="shared" si="62"/>
        <v>45765</v>
      </c>
      <c r="Q751" s="43">
        <f t="shared" si="63"/>
        <v>0</v>
      </c>
      <c r="R751" s="43">
        <f t="shared" ca="1" si="64"/>
        <v>0</v>
      </c>
      <c r="S751" s="22"/>
      <c r="T751" s="25">
        <v>45751</v>
      </c>
    </row>
    <row r="752" spans="1:20" x14ac:dyDescent="0.3">
      <c r="A752" s="13">
        <v>749</v>
      </c>
      <c r="B752" s="1" t="s">
        <v>84</v>
      </c>
      <c r="C752" s="39">
        <f t="shared" ca="1" si="60"/>
        <v>0</v>
      </c>
      <c r="D752" t="s">
        <v>290</v>
      </c>
      <c r="E752" t="s">
        <v>443</v>
      </c>
      <c r="F752" s="7" t="s">
        <v>78</v>
      </c>
      <c r="G752" s="6" t="s">
        <v>681</v>
      </c>
      <c r="H752" s="2" t="s">
        <v>681</v>
      </c>
      <c r="I752" s="1">
        <v>14</v>
      </c>
      <c r="J752" s="1">
        <v>5</v>
      </c>
      <c r="L752" s="45">
        <f t="shared" si="61"/>
        <v>45766</v>
      </c>
      <c r="M752" s="46">
        <f t="shared" si="62"/>
        <v>45766</v>
      </c>
      <c r="Q752" s="43">
        <f t="shared" si="63"/>
        <v>0</v>
      </c>
      <c r="R752" s="43">
        <f t="shared" ca="1" si="64"/>
        <v>0</v>
      </c>
      <c r="S752" s="22"/>
      <c r="T752" s="25">
        <v>45752</v>
      </c>
    </row>
    <row r="753" spans="1:20" x14ac:dyDescent="0.3">
      <c r="A753" s="13">
        <v>750</v>
      </c>
      <c r="B753" s="1" t="s">
        <v>84</v>
      </c>
      <c r="C753" s="39">
        <f t="shared" ca="1" si="60"/>
        <v>0</v>
      </c>
      <c r="D753" t="s">
        <v>290</v>
      </c>
      <c r="E753" t="s">
        <v>444</v>
      </c>
      <c r="F753" s="7" t="s">
        <v>78</v>
      </c>
      <c r="G753" s="6" t="s">
        <v>681</v>
      </c>
      <c r="H753" s="2" t="s">
        <v>681</v>
      </c>
      <c r="I753" s="1">
        <v>14</v>
      </c>
      <c r="J753" s="1">
        <v>5</v>
      </c>
      <c r="L753" s="45">
        <f t="shared" si="61"/>
        <v>45767</v>
      </c>
      <c r="M753" s="46">
        <f t="shared" si="62"/>
        <v>45767</v>
      </c>
      <c r="Q753" s="43">
        <f t="shared" si="63"/>
        <v>0</v>
      </c>
      <c r="R753" s="43">
        <f t="shared" ca="1" si="64"/>
        <v>0</v>
      </c>
      <c r="S753" s="22"/>
      <c r="T753" s="25">
        <v>45753</v>
      </c>
    </row>
    <row r="754" spans="1:20" x14ac:dyDescent="0.3">
      <c r="A754" s="13">
        <v>751</v>
      </c>
      <c r="B754" s="1" t="s">
        <v>84</v>
      </c>
      <c r="C754" s="39">
        <f t="shared" ca="1" si="60"/>
        <v>0</v>
      </c>
      <c r="D754" t="s">
        <v>290</v>
      </c>
      <c r="E754" t="s">
        <v>445</v>
      </c>
      <c r="F754" s="7" t="s">
        <v>78</v>
      </c>
      <c r="G754" s="6" t="s">
        <v>681</v>
      </c>
      <c r="H754" s="2" t="s">
        <v>681</v>
      </c>
      <c r="I754" s="1">
        <v>14</v>
      </c>
      <c r="J754" s="1">
        <v>5</v>
      </c>
      <c r="L754" s="45">
        <f t="shared" si="61"/>
        <v>45768</v>
      </c>
      <c r="M754" s="46">
        <f t="shared" si="62"/>
        <v>45768</v>
      </c>
      <c r="Q754" s="43">
        <f t="shared" si="63"/>
        <v>0</v>
      </c>
      <c r="R754" s="43">
        <f t="shared" ca="1" si="64"/>
        <v>0</v>
      </c>
      <c r="S754" s="22"/>
      <c r="T754" s="25">
        <v>45754</v>
      </c>
    </row>
    <row r="755" spans="1:20" x14ac:dyDescent="0.3">
      <c r="A755" s="13">
        <v>752</v>
      </c>
      <c r="B755" s="1" t="s">
        <v>84</v>
      </c>
      <c r="C755" s="39">
        <f t="shared" ca="1" si="60"/>
        <v>0</v>
      </c>
      <c r="D755" t="s">
        <v>290</v>
      </c>
      <c r="E755" t="s">
        <v>446</v>
      </c>
      <c r="F755" s="7" t="s">
        <v>78</v>
      </c>
      <c r="G755" s="6" t="s">
        <v>681</v>
      </c>
      <c r="H755" s="2" t="s">
        <v>681</v>
      </c>
      <c r="I755" s="1">
        <v>14</v>
      </c>
      <c r="J755" s="1">
        <v>5</v>
      </c>
      <c r="L755" s="45">
        <f t="shared" si="61"/>
        <v>45769</v>
      </c>
      <c r="M755" s="46">
        <f t="shared" si="62"/>
        <v>45769</v>
      </c>
      <c r="Q755" s="43">
        <f t="shared" si="63"/>
        <v>0</v>
      </c>
      <c r="R755" s="43">
        <f t="shared" ca="1" si="64"/>
        <v>0</v>
      </c>
      <c r="S755" s="22"/>
      <c r="T755" s="25">
        <v>45755</v>
      </c>
    </row>
    <row r="756" spans="1:20" x14ac:dyDescent="0.3">
      <c r="A756" s="13">
        <v>753</v>
      </c>
      <c r="B756" s="1" t="s">
        <v>84</v>
      </c>
      <c r="C756" s="39">
        <f t="shared" ca="1" si="60"/>
        <v>0</v>
      </c>
      <c r="D756" t="s">
        <v>291</v>
      </c>
      <c r="E756" t="s">
        <v>447</v>
      </c>
      <c r="F756" s="7" t="s">
        <v>78</v>
      </c>
      <c r="G756" s="6" t="s">
        <v>681</v>
      </c>
      <c r="H756" s="2" t="s">
        <v>681</v>
      </c>
      <c r="I756" s="1">
        <v>14</v>
      </c>
      <c r="J756" s="1">
        <v>5</v>
      </c>
      <c r="L756" s="45">
        <f t="shared" si="61"/>
        <v>45770</v>
      </c>
      <c r="M756" s="46">
        <f t="shared" si="62"/>
        <v>45770</v>
      </c>
      <c r="Q756" s="43">
        <f t="shared" si="63"/>
        <v>0</v>
      </c>
      <c r="R756" s="43">
        <f t="shared" ca="1" si="64"/>
        <v>0</v>
      </c>
      <c r="S756" s="22"/>
      <c r="T756" s="25">
        <v>45756</v>
      </c>
    </row>
    <row r="757" spans="1:20" x14ac:dyDescent="0.3">
      <c r="A757" s="13">
        <v>754</v>
      </c>
      <c r="B757" s="1" t="s">
        <v>84</v>
      </c>
      <c r="C757" s="39">
        <f t="shared" ca="1" si="60"/>
        <v>0</v>
      </c>
      <c r="D757" t="s">
        <v>291</v>
      </c>
      <c r="E757" t="s">
        <v>448</v>
      </c>
      <c r="F757" s="7" t="s">
        <v>78</v>
      </c>
      <c r="G757" s="6" t="s">
        <v>681</v>
      </c>
      <c r="H757" s="2" t="s">
        <v>681</v>
      </c>
      <c r="I757" s="1">
        <v>14</v>
      </c>
      <c r="J757" s="1">
        <v>5</v>
      </c>
      <c r="L757" s="45">
        <f t="shared" si="61"/>
        <v>45771</v>
      </c>
      <c r="M757" s="46">
        <f t="shared" si="62"/>
        <v>45771</v>
      </c>
      <c r="Q757" s="43">
        <f t="shared" si="63"/>
        <v>0</v>
      </c>
      <c r="R757" s="43">
        <f t="shared" ca="1" si="64"/>
        <v>0</v>
      </c>
      <c r="S757" s="22"/>
      <c r="T757" s="25">
        <v>45757</v>
      </c>
    </row>
    <row r="758" spans="1:20" x14ac:dyDescent="0.3">
      <c r="A758" s="13">
        <v>755</v>
      </c>
      <c r="B758" s="1" t="s">
        <v>84</v>
      </c>
      <c r="C758" s="39">
        <f t="shared" ca="1" si="60"/>
        <v>0</v>
      </c>
      <c r="D758" t="s">
        <v>291</v>
      </c>
      <c r="E758" t="s">
        <v>449</v>
      </c>
      <c r="F758" s="7" t="s">
        <v>78</v>
      </c>
      <c r="G758" s="6" t="s">
        <v>681</v>
      </c>
      <c r="H758" s="2" t="s">
        <v>681</v>
      </c>
      <c r="I758" s="1">
        <v>14</v>
      </c>
      <c r="J758" s="1">
        <v>5</v>
      </c>
      <c r="L758" s="45">
        <f t="shared" si="61"/>
        <v>45772</v>
      </c>
      <c r="M758" s="46">
        <f t="shared" si="62"/>
        <v>45772</v>
      </c>
      <c r="Q758" s="43">
        <f t="shared" si="63"/>
        <v>0</v>
      </c>
      <c r="R758" s="43">
        <f t="shared" ca="1" si="64"/>
        <v>0</v>
      </c>
      <c r="S758" s="22"/>
      <c r="T758" s="25">
        <v>45758</v>
      </c>
    </row>
    <row r="759" spans="1:20" x14ac:dyDescent="0.3">
      <c r="A759" s="13">
        <v>756</v>
      </c>
      <c r="B759" s="1" t="s">
        <v>84</v>
      </c>
      <c r="C759" s="39">
        <f t="shared" ca="1" si="60"/>
        <v>0</v>
      </c>
      <c r="D759" t="s">
        <v>291</v>
      </c>
      <c r="E759" t="s">
        <v>450</v>
      </c>
      <c r="F759" s="7" t="s">
        <v>78</v>
      </c>
      <c r="G759" s="6" t="s">
        <v>681</v>
      </c>
      <c r="H759" s="2" t="s">
        <v>681</v>
      </c>
      <c r="I759" s="1">
        <v>14</v>
      </c>
      <c r="J759" s="1">
        <v>5</v>
      </c>
      <c r="L759" s="45">
        <f t="shared" si="61"/>
        <v>45773</v>
      </c>
      <c r="M759" s="46">
        <f t="shared" si="62"/>
        <v>45773</v>
      </c>
      <c r="Q759" s="43">
        <f t="shared" si="63"/>
        <v>0</v>
      </c>
      <c r="R759" s="43">
        <f t="shared" ca="1" si="64"/>
        <v>0</v>
      </c>
      <c r="S759" s="22"/>
      <c r="T759" s="25">
        <v>45759</v>
      </c>
    </row>
    <row r="760" spans="1:20" x14ac:dyDescent="0.3">
      <c r="A760" s="13">
        <v>757</v>
      </c>
      <c r="B760" s="1" t="s">
        <v>84</v>
      </c>
      <c r="C760" s="39">
        <f t="shared" ca="1" si="60"/>
        <v>0</v>
      </c>
      <c r="D760" t="s">
        <v>291</v>
      </c>
      <c r="E760" t="s">
        <v>451</v>
      </c>
      <c r="F760" s="7" t="s">
        <v>78</v>
      </c>
      <c r="G760" s="6" t="s">
        <v>681</v>
      </c>
      <c r="H760" s="2" t="s">
        <v>681</v>
      </c>
      <c r="I760" s="1">
        <v>14</v>
      </c>
      <c r="J760" s="1">
        <v>5</v>
      </c>
      <c r="L760" s="45">
        <f t="shared" si="61"/>
        <v>45774</v>
      </c>
      <c r="M760" s="46">
        <f t="shared" si="62"/>
        <v>45774</v>
      </c>
      <c r="Q760" s="43">
        <f t="shared" si="63"/>
        <v>0</v>
      </c>
      <c r="R760" s="43">
        <f t="shared" ca="1" si="64"/>
        <v>0</v>
      </c>
      <c r="S760" s="22"/>
      <c r="T760" s="25">
        <v>45760</v>
      </c>
    </row>
    <row r="761" spans="1:20" x14ac:dyDescent="0.3">
      <c r="A761" s="13">
        <v>758</v>
      </c>
      <c r="B761" s="1" t="s">
        <v>84</v>
      </c>
      <c r="C761" s="39">
        <f t="shared" ca="1" si="60"/>
        <v>0</v>
      </c>
      <c r="D761" t="s">
        <v>291</v>
      </c>
      <c r="E761" t="s">
        <v>452</v>
      </c>
      <c r="F761" s="7" t="s">
        <v>78</v>
      </c>
      <c r="G761" s="6" t="s">
        <v>681</v>
      </c>
      <c r="H761" s="2" t="s">
        <v>681</v>
      </c>
      <c r="I761" s="1">
        <v>14</v>
      </c>
      <c r="J761" s="1">
        <v>5</v>
      </c>
      <c r="L761" s="45">
        <f t="shared" si="61"/>
        <v>45775</v>
      </c>
      <c r="M761" s="46">
        <f t="shared" si="62"/>
        <v>45775</v>
      </c>
      <c r="Q761" s="43">
        <f t="shared" si="63"/>
        <v>0</v>
      </c>
      <c r="R761" s="43">
        <f t="shared" ca="1" si="64"/>
        <v>0</v>
      </c>
      <c r="S761" s="22"/>
      <c r="T761" s="25">
        <v>45761</v>
      </c>
    </row>
    <row r="762" spans="1:20" x14ac:dyDescent="0.3">
      <c r="A762" s="13">
        <v>759</v>
      </c>
      <c r="B762" s="1" t="s">
        <v>84</v>
      </c>
      <c r="C762" s="39">
        <f t="shared" ca="1" si="60"/>
        <v>0</v>
      </c>
      <c r="D762" t="s">
        <v>291</v>
      </c>
      <c r="E762" t="s">
        <v>453</v>
      </c>
      <c r="F762" s="7" t="s">
        <v>78</v>
      </c>
      <c r="G762" s="6" t="s">
        <v>681</v>
      </c>
      <c r="H762" s="2" t="s">
        <v>681</v>
      </c>
      <c r="I762" s="1">
        <v>14</v>
      </c>
      <c r="J762" s="1">
        <v>5</v>
      </c>
      <c r="L762" s="45">
        <f t="shared" si="61"/>
        <v>45776</v>
      </c>
      <c r="M762" s="46">
        <f t="shared" si="62"/>
        <v>45776</v>
      </c>
      <c r="Q762" s="43">
        <f t="shared" si="63"/>
        <v>0</v>
      </c>
      <c r="R762" s="43">
        <f t="shared" ca="1" si="64"/>
        <v>0</v>
      </c>
      <c r="S762" s="22"/>
      <c r="T762" s="25">
        <v>45762</v>
      </c>
    </row>
    <row r="763" spans="1:20" x14ac:dyDescent="0.3">
      <c r="A763" s="13">
        <v>760</v>
      </c>
      <c r="B763" s="1" t="s">
        <v>84</v>
      </c>
      <c r="C763" s="39">
        <f t="shared" ca="1" si="60"/>
        <v>0</v>
      </c>
      <c r="D763" t="s">
        <v>291</v>
      </c>
      <c r="E763" t="s">
        <v>454</v>
      </c>
      <c r="F763" s="7" t="s">
        <v>78</v>
      </c>
      <c r="G763" s="6" t="s">
        <v>681</v>
      </c>
      <c r="H763" s="2" t="s">
        <v>681</v>
      </c>
      <c r="I763" s="1">
        <v>14</v>
      </c>
      <c r="J763" s="1">
        <v>5</v>
      </c>
      <c r="L763" s="45">
        <f t="shared" si="61"/>
        <v>45777</v>
      </c>
      <c r="M763" s="46">
        <f t="shared" si="62"/>
        <v>45777</v>
      </c>
      <c r="Q763" s="43">
        <f t="shared" si="63"/>
        <v>0</v>
      </c>
      <c r="R763" s="43">
        <f t="shared" ca="1" si="64"/>
        <v>0</v>
      </c>
      <c r="S763" s="22"/>
      <c r="T763" s="25">
        <v>45763</v>
      </c>
    </row>
    <row r="764" spans="1:20" x14ac:dyDescent="0.3">
      <c r="A764" s="13">
        <v>761</v>
      </c>
      <c r="B764" s="1" t="s">
        <v>84</v>
      </c>
      <c r="C764" s="39">
        <f t="shared" ca="1" si="60"/>
        <v>0</v>
      </c>
      <c r="D764" t="s">
        <v>291</v>
      </c>
      <c r="E764" t="s">
        <v>455</v>
      </c>
      <c r="F764" s="7" t="s">
        <v>78</v>
      </c>
      <c r="G764" s="6" t="s">
        <v>681</v>
      </c>
      <c r="H764" s="2" t="s">
        <v>681</v>
      </c>
      <c r="I764" s="1">
        <v>14</v>
      </c>
      <c r="J764" s="1">
        <v>5</v>
      </c>
      <c r="L764" s="45">
        <f t="shared" si="61"/>
        <v>45778</v>
      </c>
      <c r="M764" s="46">
        <f t="shared" si="62"/>
        <v>45778</v>
      </c>
      <c r="Q764" s="43">
        <f t="shared" si="63"/>
        <v>0</v>
      </c>
      <c r="R764" s="43">
        <f t="shared" ca="1" si="64"/>
        <v>0</v>
      </c>
      <c r="S764" s="22"/>
      <c r="T764" s="25">
        <v>45764</v>
      </c>
    </row>
    <row r="765" spans="1:20" x14ac:dyDescent="0.3">
      <c r="A765" s="13">
        <v>762</v>
      </c>
      <c r="B765" s="1" t="s">
        <v>84</v>
      </c>
      <c r="C765" s="39">
        <f t="shared" ca="1" si="60"/>
        <v>0</v>
      </c>
      <c r="D765" t="s">
        <v>291</v>
      </c>
      <c r="E765" t="s">
        <v>416</v>
      </c>
      <c r="F765" s="7" t="s">
        <v>78</v>
      </c>
      <c r="G765" s="6" t="s">
        <v>681</v>
      </c>
      <c r="H765" s="2" t="s">
        <v>681</v>
      </c>
      <c r="I765" s="1">
        <v>14</v>
      </c>
      <c r="J765" s="1">
        <v>5</v>
      </c>
      <c r="L765" s="45">
        <f t="shared" si="61"/>
        <v>45779</v>
      </c>
      <c r="M765" s="46">
        <f t="shared" si="62"/>
        <v>45779</v>
      </c>
      <c r="Q765" s="43">
        <f t="shared" si="63"/>
        <v>0</v>
      </c>
      <c r="R765" s="43">
        <f t="shared" ca="1" si="64"/>
        <v>0</v>
      </c>
      <c r="S765" s="22"/>
      <c r="T765" s="25">
        <v>45765</v>
      </c>
    </row>
    <row r="766" spans="1:20" x14ac:dyDescent="0.3">
      <c r="A766" s="13">
        <v>763</v>
      </c>
      <c r="B766" s="1" t="s">
        <v>84</v>
      </c>
      <c r="C766" s="39">
        <f t="shared" ca="1" si="60"/>
        <v>0</v>
      </c>
      <c r="D766" t="s">
        <v>291</v>
      </c>
      <c r="E766" t="s">
        <v>456</v>
      </c>
      <c r="F766" s="7" t="s">
        <v>78</v>
      </c>
      <c r="G766" s="6" t="s">
        <v>681</v>
      </c>
      <c r="H766" s="2" t="s">
        <v>681</v>
      </c>
      <c r="I766" s="1">
        <v>14</v>
      </c>
      <c r="J766" s="1">
        <v>5</v>
      </c>
      <c r="L766" s="45">
        <f t="shared" si="61"/>
        <v>45780</v>
      </c>
      <c r="M766" s="46">
        <f t="shared" si="62"/>
        <v>45780</v>
      </c>
      <c r="Q766" s="43">
        <f t="shared" si="63"/>
        <v>0</v>
      </c>
      <c r="R766" s="43">
        <f t="shared" ca="1" si="64"/>
        <v>0</v>
      </c>
      <c r="S766" s="22"/>
      <c r="T766" s="25">
        <v>45766</v>
      </c>
    </row>
    <row r="767" spans="1:20" x14ac:dyDescent="0.3">
      <c r="A767" s="13">
        <v>764</v>
      </c>
      <c r="B767" s="1" t="s">
        <v>84</v>
      </c>
      <c r="C767" s="39">
        <f t="shared" ca="1" si="60"/>
        <v>0</v>
      </c>
      <c r="D767" t="s">
        <v>291</v>
      </c>
      <c r="E767" t="s">
        <v>457</v>
      </c>
      <c r="F767" s="7" t="s">
        <v>78</v>
      </c>
      <c r="G767" s="6" t="s">
        <v>681</v>
      </c>
      <c r="H767" s="2" t="s">
        <v>681</v>
      </c>
      <c r="I767" s="1">
        <v>14</v>
      </c>
      <c r="J767" s="1">
        <v>5</v>
      </c>
      <c r="L767" s="45">
        <f t="shared" si="61"/>
        <v>45781</v>
      </c>
      <c r="M767" s="46">
        <f t="shared" si="62"/>
        <v>45781</v>
      </c>
      <c r="Q767" s="43">
        <f t="shared" si="63"/>
        <v>0</v>
      </c>
      <c r="R767" s="43">
        <f t="shared" ca="1" si="64"/>
        <v>0</v>
      </c>
      <c r="S767" s="22"/>
      <c r="T767" s="25">
        <v>45767</v>
      </c>
    </row>
    <row r="768" spans="1:20" x14ac:dyDescent="0.3">
      <c r="A768" s="13">
        <v>765</v>
      </c>
      <c r="B768" s="1" t="s">
        <v>84</v>
      </c>
      <c r="C768" s="39">
        <f t="shared" ca="1" si="60"/>
        <v>0</v>
      </c>
      <c r="D768" t="s">
        <v>291</v>
      </c>
      <c r="E768" t="s">
        <v>458</v>
      </c>
      <c r="F768" s="7" t="s">
        <v>78</v>
      </c>
      <c r="G768" s="6" t="s">
        <v>681</v>
      </c>
      <c r="H768" s="2" t="s">
        <v>681</v>
      </c>
      <c r="I768" s="1">
        <v>14</v>
      </c>
      <c r="J768" s="1">
        <v>5</v>
      </c>
      <c r="L768" s="45">
        <f t="shared" si="61"/>
        <v>45782</v>
      </c>
      <c r="M768" s="46">
        <f t="shared" si="62"/>
        <v>45782</v>
      </c>
      <c r="Q768" s="43">
        <f t="shared" si="63"/>
        <v>0</v>
      </c>
      <c r="R768" s="43">
        <f t="shared" ca="1" si="64"/>
        <v>0</v>
      </c>
      <c r="S768" s="22"/>
      <c r="T768" s="25">
        <v>45768</v>
      </c>
    </row>
    <row r="769" spans="1:20" x14ac:dyDescent="0.3">
      <c r="A769" s="13">
        <v>766</v>
      </c>
      <c r="B769" s="1" t="s">
        <v>84</v>
      </c>
      <c r="C769" s="39">
        <f t="shared" ca="1" si="60"/>
        <v>0</v>
      </c>
      <c r="D769" t="s">
        <v>291</v>
      </c>
      <c r="E769" t="s">
        <v>459</v>
      </c>
      <c r="F769" s="7" t="s">
        <v>78</v>
      </c>
      <c r="G769" s="6" t="s">
        <v>681</v>
      </c>
      <c r="H769" s="2" t="s">
        <v>681</v>
      </c>
      <c r="I769" s="1">
        <v>14</v>
      </c>
      <c r="J769" s="1">
        <v>5</v>
      </c>
      <c r="L769" s="45">
        <f t="shared" si="61"/>
        <v>45783</v>
      </c>
      <c r="M769" s="46">
        <f t="shared" si="62"/>
        <v>45783</v>
      </c>
      <c r="Q769" s="43">
        <f t="shared" si="63"/>
        <v>0</v>
      </c>
      <c r="R769" s="43">
        <f t="shared" ca="1" si="64"/>
        <v>0</v>
      </c>
      <c r="S769" s="22"/>
      <c r="T769" s="25">
        <v>45769</v>
      </c>
    </row>
    <row r="770" spans="1:20" x14ac:dyDescent="0.3">
      <c r="A770" s="13">
        <v>767</v>
      </c>
      <c r="B770" s="1" t="s">
        <v>84</v>
      </c>
      <c r="C770" s="39">
        <f t="shared" ca="1" si="60"/>
        <v>0</v>
      </c>
      <c r="D770" t="s">
        <v>291</v>
      </c>
      <c r="E770" t="s">
        <v>460</v>
      </c>
      <c r="F770" s="7" t="s">
        <v>78</v>
      </c>
      <c r="G770" s="6" t="s">
        <v>681</v>
      </c>
      <c r="H770" s="2" t="s">
        <v>681</v>
      </c>
      <c r="I770" s="1">
        <v>14</v>
      </c>
      <c r="J770" s="1">
        <v>5</v>
      </c>
      <c r="L770" s="45">
        <f t="shared" si="61"/>
        <v>45784</v>
      </c>
      <c r="M770" s="46">
        <f t="shared" si="62"/>
        <v>45784</v>
      </c>
      <c r="Q770" s="43">
        <f t="shared" si="63"/>
        <v>0</v>
      </c>
      <c r="R770" s="43">
        <f t="shared" ca="1" si="64"/>
        <v>0</v>
      </c>
      <c r="S770" s="22"/>
      <c r="T770" s="25">
        <v>45770</v>
      </c>
    </row>
    <row r="771" spans="1:20" x14ac:dyDescent="0.3">
      <c r="A771" s="13">
        <v>768</v>
      </c>
      <c r="B771" s="1" t="s">
        <v>84</v>
      </c>
      <c r="C771" s="39">
        <f t="shared" ca="1" si="60"/>
        <v>0</v>
      </c>
      <c r="D771" t="s">
        <v>291</v>
      </c>
      <c r="E771" t="s">
        <v>461</v>
      </c>
      <c r="F771" s="7" t="s">
        <v>78</v>
      </c>
      <c r="G771" s="6" t="s">
        <v>681</v>
      </c>
      <c r="H771" s="2" t="s">
        <v>681</v>
      </c>
      <c r="I771" s="1">
        <v>14</v>
      </c>
      <c r="J771" s="1">
        <v>5</v>
      </c>
      <c r="L771" s="45">
        <f t="shared" si="61"/>
        <v>45785</v>
      </c>
      <c r="M771" s="46">
        <f t="shared" si="62"/>
        <v>45785</v>
      </c>
      <c r="Q771" s="43">
        <f t="shared" si="63"/>
        <v>0</v>
      </c>
      <c r="R771" s="43">
        <f t="shared" ca="1" si="64"/>
        <v>0</v>
      </c>
      <c r="S771" s="22"/>
      <c r="T771" s="25">
        <v>45771</v>
      </c>
    </row>
    <row r="772" spans="1:20" x14ac:dyDescent="0.3">
      <c r="A772" s="13">
        <v>769</v>
      </c>
      <c r="B772" s="1" t="s">
        <v>84</v>
      </c>
      <c r="C772" s="39">
        <f t="shared" ca="1" si="60"/>
        <v>0</v>
      </c>
      <c r="D772" t="s">
        <v>291</v>
      </c>
      <c r="E772" t="s">
        <v>462</v>
      </c>
      <c r="F772" s="7" t="s">
        <v>78</v>
      </c>
      <c r="G772" s="6" t="s">
        <v>681</v>
      </c>
      <c r="H772" s="2" t="s">
        <v>681</v>
      </c>
      <c r="I772" s="1">
        <v>14</v>
      </c>
      <c r="J772" s="1">
        <v>5</v>
      </c>
      <c r="L772" s="45">
        <f t="shared" si="61"/>
        <v>45786</v>
      </c>
      <c r="M772" s="46">
        <f t="shared" si="62"/>
        <v>45786</v>
      </c>
      <c r="Q772" s="43">
        <f t="shared" si="63"/>
        <v>0</v>
      </c>
      <c r="R772" s="43">
        <f t="shared" ca="1" si="64"/>
        <v>0</v>
      </c>
      <c r="S772" s="22"/>
      <c r="T772" s="25">
        <v>45772</v>
      </c>
    </row>
    <row r="773" spans="1:20" x14ac:dyDescent="0.3">
      <c r="A773" s="13">
        <v>770</v>
      </c>
      <c r="B773" s="1" t="s">
        <v>84</v>
      </c>
      <c r="C773" s="39">
        <f t="shared" ref="C773:C836" ca="1" si="65">IF(L773&lt;=$A$2,1,0)</f>
        <v>0</v>
      </c>
      <c r="D773" t="s">
        <v>291</v>
      </c>
      <c r="E773" t="s">
        <v>463</v>
      </c>
      <c r="F773" s="7" t="s">
        <v>78</v>
      </c>
      <c r="G773" s="6" t="s">
        <v>681</v>
      </c>
      <c r="H773" s="2" t="s">
        <v>681</v>
      </c>
      <c r="I773" s="1">
        <v>14</v>
      </c>
      <c r="J773" s="1">
        <v>5</v>
      </c>
      <c r="L773" s="45">
        <f t="shared" ref="L773:L836" si="66">IF(N773="",M773,N773)</f>
        <v>45787</v>
      </c>
      <c r="M773" s="46">
        <f t="shared" si="62"/>
        <v>45787</v>
      </c>
      <c r="Q773" s="43">
        <f t="shared" si="63"/>
        <v>0</v>
      </c>
      <c r="R773" s="43">
        <f t="shared" ca="1" si="64"/>
        <v>0</v>
      </c>
      <c r="S773" s="22"/>
      <c r="T773" s="25">
        <v>45773</v>
      </c>
    </row>
    <row r="774" spans="1:20" x14ac:dyDescent="0.3">
      <c r="A774" s="13">
        <v>771</v>
      </c>
      <c r="B774" s="1" t="s">
        <v>84</v>
      </c>
      <c r="C774" s="39">
        <f t="shared" ca="1" si="65"/>
        <v>0</v>
      </c>
      <c r="D774" t="s">
        <v>291</v>
      </c>
      <c r="E774" t="s">
        <v>464</v>
      </c>
      <c r="F774" s="7" t="s">
        <v>78</v>
      </c>
      <c r="G774" s="6" t="s">
        <v>681</v>
      </c>
      <c r="H774" s="2" t="s">
        <v>681</v>
      </c>
      <c r="I774" s="1">
        <v>14</v>
      </c>
      <c r="J774" s="1">
        <v>5</v>
      </c>
      <c r="L774" s="45">
        <f t="shared" si="66"/>
        <v>45788</v>
      </c>
      <c r="M774" s="46">
        <f t="shared" si="62"/>
        <v>45788</v>
      </c>
      <c r="Q774" s="43">
        <f t="shared" si="63"/>
        <v>0</v>
      </c>
      <c r="R774" s="43">
        <f t="shared" ca="1" si="64"/>
        <v>0</v>
      </c>
      <c r="S774" s="22"/>
      <c r="T774" s="25">
        <v>45774</v>
      </c>
    </row>
    <row r="775" spans="1:20" x14ac:dyDescent="0.3">
      <c r="A775" s="13">
        <v>772</v>
      </c>
      <c r="B775" s="1" t="s">
        <v>84</v>
      </c>
      <c r="C775" s="39">
        <f t="shared" ca="1" si="65"/>
        <v>0</v>
      </c>
      <c r="D775" t="s">
        <v>291</v>
      </c>
      <c r="E775" t="s">
        <v>465</v>
      </c>
      <c r="F775" s="7" t="s">
        <v>78</v>
      </c>
      <c r="G775" s="6" t="s">
        <v>681</v>
      </c>
      <c r="H775" s="2" t="s">
        <v>681</v>
      </c>
      <c r="I775" s="1">
        <v>14</v>
      </c>
      <c r="J775" s="1">
        <v>5</v>
      </c>
      <c r="L775" s="45">
        <f t="shared" si="66"/>
        <v>45789</v>
      </c>
      <c r="M775" s="46">
        <f t="shared" si="62"/>
        <v>45789</v>
      </c>
      <c r="Q775" s="43">
        <f t="shared" si="63"/>
        <v>0</v>
      </c>
      <c r="R775" s="43">
        <f t="shared" ca="1" si="64"/>
        <v>0</v>
      </c>
      <c r="S775" s="22"/>
      <c r="T775" s="25">
        <v>45775</v>
      </c>
    </row>
    <row r="776" spans="1:20" x14ac:dyDescent="0.3">
      <c r="A776" s="13">
        <v>773</v>
      </c>
      <c r="B776" s="1" t="s">
        <v>84</v>
      </c>
      <c r="C776" s="39">
        <f t="shared" ca="1" si="65"/>
        <v>0</v>
      </c>
      <c r="D776" t="s">
        <v>292</v>
      </c>
      <c r="E776" t="s">
        <v>466</v>
      </c>
      <c r="F776" s="7" t="s">
        <v>78</v>
      </c>
      <c r="G776" s="6" t="s">
        <v>681</v>
      </c>
      <c r="H776" s="2" t="s">
        <v>681</v>
      </c>
      <c r="I776" s="1">
        <v>14</v>
      </c>
      <c r="J776" s="1">
        <v>5</v>
      </c>
      <c r="L776" s="45">
        <f t="shared" si="66"/>
        <v>45790</v>
      </c>
      <c r="M776" s="46">
        <f t="shared" si="62"/>
        <v>45790</v>
      </c>
      <c r="Q776" s="43">
        <f t="shared" si="63"/>
        <v>0</v>
      </c>
      <c r="R776" s="43">
        <f t="shared" ca="1" si="64"/>
        <v>0</v>
      </c>
      <c r="S776" s="22"/>
      <c r="T776" s="25">
        <v>45776</v>
      </c>
    </row>
    <row r="777" spans="1:20" x14ac:dyDescent="0.3">
      <c r="A777" s="13">
        <v>774</v>
      </c>
      <c r="B777" s="1" t="s">
        <v>84</v>
      </c>
      <c r="C777" s="39">
        <f t="shared" ca="1" si="65"/>
        <v>0</v>
      </c>
      <c r="D777" t="s">
        <v>292</v>
      </c>
      <c r="E777" t="s">
        <v>467</v>
      </c>
      <c r="F777" s="7" t="s">
        <v>78</v>
      </c>
      <c r="G777" s="6" t="s">
        <v>681</v>
      </c>
      <c r="H777" s="2" t="s">
        <v>681</v>
      </c>
      <c r="I777" s="1">
        <v>14</v>
      </c>
      <c r="J777" s="1">
        <v>5</v>
      </c>
      <c r="L777" s="45">
        <f t="shared" si="66"/>
        <v>45791</v>
      </c>
      <c r="M777" s="46">
        <f t="shared" si="62"/>
        <v>45791</v>
      </c>
      <c r="Q777" s="43">
        <f t="shared" si="63"/>
        <v>0</v>
      </c>
      <c r="R777" s="43">
        <f t="shared" ca="1" si="64"/>
        <v>0</v>
      </c>
      <c r="S777" s="22"/>
      <c r="T777" s="25">
        <v>45777</v>
      </c>
    </row>
    <row r="778" spans="1:20" x14ac:dyDescent="0.3">
      <c r="A778" s="13">
        <v>775</v>
      </c>
      <c r="B778" s="1" t="s">
        <v>84</v>
      </c>
      <c r="C778" s="39">
        <f t="shared" ca="1" si="65"/>
        <v>0</v>
      </c>
      <c r="D778" t="s">
        <v>292</v>
      </c>
      <c r="E778" t="s">
        <v>468</v>
      </c>
      <c r="F778" s="7" t="s">
        <v>78</v>
      </c>
      <c r="G778" s="6" t="s">
        <v>681</v>
      </c>
      <c r="H778" s="2" t="s">
        <v>681</v>
      </c>
      <c r="I778" s="1">
        <v>14</v>
      </c>
      <c r="J778" s="1">
        <v>5</v>
      </c>
      <c r="L778" s="45">
        <f t="shared" si="66"/>
        <v>45792</v>
      </c>
      <c r="M778" s="46">
        <f t="shared" si="62"/>
        <v>45792</v>
      </c>
      <c r="Q778" s="43">
        <f t="shared" si="63"/>
        <v>0</v>
      </c>
      <c r="R778" s="43">
        <f t="shared" ca="1" si="64"/>
        <v>0</v>
      </c>
      <c r="S778" s="22"/>
      <c r="T778" s="25">
        <v>45778</v>
      </c>
    </row>
    <row r="779" spans="1:20" x14ac:dyDescent="0.3">
      <c r="A779" s="13">
        <v>776</v>
      </c>
      <c r="B779" s="1" t="s">
        <v>84</v>
      </c>
      <c r="C779" s="39">
        <f t="shared" ca="1" si="65"/>
        <v>0</v>
      </c>
      <c r="D779" t="s">
        <v>292</v>
      </c>
      <c r="E779" t="s">
        <v>469</v>
      </c>
      <c r="F779" s="7" t="s">
        <v>78</v>
      </c>
      <c r="G779" s="6" t="s">
        <v>681</v>
      </c>
      <c r="H779" s="2" t="s">
        <v>681</v>
      </c>
      <c r="I779" s="1">
        <v>14</v>
      </c>
      <c r="J779" s="1">
        <v>5</v>
      </c>
      <c r="L779" s="45">
        <f t="shared" si="66"/>
        <v>45793</v>
      </c>
      <c r="M779" s="46">
        <f t="shared" si="62"/>
        <v>45793</v>
      </c>
      <c r="Q779" s="43">
        <f t="shared" si="63"/>
        <v>0</v>
      </c>
      <c r="R779" s="43">
        <f t="shared" ca="1" si="64"/>
        <v>0</v>
      </c>
      <c r="S779" s="22"/>
      <c r="T779" s="25">
        <v>45779</v>
      </c>
    </row>
    <row r="780" spans="1:20" x14ac:dyDescent="0.3">
      <c r="A780" s="13">
        <v>777</v>
      </c>
      <c r="B780" s="1" t="s">
        <v>84</v>
      </c>
      <c r="C780" s="39">
        <f t="shared" ca="1" si="65"/>
        <v>0</v>
      </c>
      <c r="D780" t="s">
        <v>292</v>
      </c>
      <c r="E780" t="s">
        <v>470</v>
      </c>
      <c r="F780" s="7" t="s">
        <v>78</v>
      </c>
      <c r="G780" s="6" t="s">
        <v>681</v>
      </c>
      <c r="H780" s="2" t="s">
        <v>681</v>
      </c>
      <c r="I780" s="1">
        <v>14</v>
      </c>
      <c r="J780" s="1">
        <v>5</v>
      </c>
      <c r="L780" s="45">
        <f t="shared" si="66"/>
        <v>45794</v>
      </c>
      <c r="M780" s="46">
        <f t="shared" si="62"/>
        <v>45794</v>
      </c>
      <c r="Q780" s="43">
        <f t="shared" si="63"/>
        <v>0</v>
      </c>
      <c r="R780" s="43">
        <f t="shared" ca="1" si="64"/>
        <v>0</v>
      </c>
      <c r="S780" s="22"/>
      <c r="T780" s="25">
        <v>45780</v>
      </c>
    </row>
    <row r="781" spans="1:20" x14ac:dyDescent="0.3">
      <c r="A781" s="13">
        <v>778</v>
      </c>
      <c r="B781" s="1" t="s">
        <v>84</v>
      </c>
      <c r="C781" s="39">
        <f t="shared" ca="1" si="65"/>
        <v>0</v>
      </c>
      <c r="D781" t="s">
        <v>292</v>
      </c>
      <c r="E781" t="s">
        <v>471</v>
      </c>
      <c r="F781" s="7" t="s">
        <v>78</v>
      </c>
      <c r="G781" s="6" t="s">
        <v>681</v>
      </c>
      <c r="H781" s="2" t="s">
        <v>681</v>
      </c>
      <c r="I781" s="1">
        <v>14</v>
      </c>
      <c r="J781" s="1">
        <v>5</v>
      </c>
      <c r="L781" s="45">
        <f t="shared" si="66"/>
        <v>45795</v>
      </c>
      <c r="M781" s="46">
        <f t="shared" si="62"/>
        <v>45795</v>
      </c>
      <c r="Q781" s="43">
        <f t="shared" si="63"/>
        <v>0</v>
      </c>
      <c r="R781" s="43">
        <f t="shared" ca="1" si="64"/>
        <v>0</v>
      </c>
      <c r="S781" s="22"/>
      <c r="T781" s="25">
        <v>45781</v>
      </c>
    </row>
    <row r="782" spans="1:20" x14ac:dyDescent="0.3">
      <c r="A782" s="13">
        <v>779</v>
      </c>
      <c r="B782" s="1" t="s">
        <v>84</v>
      </c>
      <c r="C782" s="39">
        <f t="shared" ca="1" si="65"/>
        <v>0</v>
      </c>
      <c r="D782" t="s">
        <v>292</v>
      </c>
      <c r="E782" t="s">
        <v>472</v>
      </c>
      <c r="F782" s="7" t="s">
        <v>78</v>
      </c>
      <c r="G782" s="6" t="s">
        <v>681</v>
      </c>
      <c r="H782" s="2" t="s">
        <v>681</v>
      </c>
      <c r="I782" s="1">
        <v>14</v>
      </c>
      <c r="J782" s="1">
        <v>5</v>
      </c>
      <c r="L782" s="45">
        <f t="shared" si="66"/>
        <v>45796</v>
      </c>
      <c r="M782" s="46">
        <f t="shared" si="62"/>
        <v>45796</v>
      </c>
      <c r="Q782" s="43">
        <f t="shared" si="63"/>
        <v>0</v>
      </c>
      <c r="R782" s="43">
        <f t="shared" ca="1" si="64"/>
        <v>0</v>
      </c>
      <c r="S782" s="22"/>
      <c r="T782" s="25">
        <v>45782</v>
      </c>
    </row>
    <row r="783" spans="1:20" x14ac:dyDescent="0.3">
      <c r="A783" s="13">
        <v>780</v>
      </c>
      <c r="B783" s="1" t="s">
        <v>84</v>
      </c>
      <c r="C783" s="39">
        <f t="shared" ca="1" si="65"/>
        <v>0</v>
      </c>
      <c r="D783" t="s">
        <v>292</v>
      </c>
      <c r="E783" t="s">
        <v>473</v>
      </c>
      <c r="F783" s="7" t="s">
        <v>78</v>
      </c>
      <c r="G783" s="6" t="s">
        <v>681</v>
      </c>
      <c r="H783" s="2" t="s">
        <v>681</v>
      </c>
      <c r="I783" s="1">
        <v>14</v>
      </c>
      <c r="J783" s="1">
        <v>5</v>
      </c>
      <c r="L783" s="45">
        <f t="shared" si="66"/>
        <v>45797</v>
      </c>
      <c r="M783" s="46">
        <f t="shared" si="62"/>
        <v>45797</v>
      </c>
      <c r="Q783" s="43">
        <f t="shared" si="63"/>
        <v>0</v>
      </c>
      <c r="R783" s="43">
        <f t="shared" ca="1" si="64"/>
        <v>0</v>
      </c>
      <c r="S783" s="22"/>
      <c r="T783" s="25">
        <v>45783</v>
      </c>
    </row>
    <row r="784" spans="1:20" x14ac:dyDescent="0.3">
      <c r="A784" s="13">
        <v>781</v>
      </c>
      <c r="B784" s="1" t="s">
        <v>84</v>
      </c>
      <c r="C784" s="39">
        <f t="shared" ca="1" si="65"/>
        <v>0</v>
      </c>
      <c r="D784" t="s">
        <v>292</v>
      </c>
      <c r="E784" t="s">
        <v>468</v>
      </c>
      <c r="F784" s="7" t="s">
        <v>78</v>
      </c>
      <c r="G784" s="6" t="s">
        <v>681</v>
      </c>
      <c r="H784" s="2" t="s">
        <v>681</v>
      </c>
      <c r="I784" s="1">
        <v>14</v>
      </c>
      <c r="J784" s="1">
        <v>5</v>
      </c>
      <c r="L784" s="45">
        <f t="shared" si="66"/>
        <v>45798</v>
      </c>
      <c r="M784" s="46">
        <f t="shared" si="62"/>
        <v>45798</v>
      </c>
      <c r="Q784" s="43">
        <f t="shared" si="63"/>
        <v>0</v>
      </c>
      <c r="R784" s="43">
        <f t="shared" ca="1" si="64"/>
        <v>0</v>
      </c>
      <c r="S784" s="22"/>
      <c r="T784" s="25">
        <v>45784</v>
      </c>
    </row>
    <row r="785" spans="1:20" x14ac:dyDescent="0.3">
      <c r="A785" s="13">
        <v>782</v>
      </c>
      <c r="B785" s="1" t="s">
        <v>84</v>
      </c>
      <c r="C785" s="39">
        <f t="shared" ca="1" si="65"/>
        <v>0</v>
      </c>
      <c r="D785" t="s">
        <v>292</v>
      </c>
      <c r="E785" t="s">
        <v>474</v>
      </c>
      <c r="F785" s="7" t="s">
        <v>78</v>
      </c>
      <c r="G785" s="6" t="s">
        <v>681</v>
      </c>
      <c r="H785" s="2" t="s">
        <v>681</v>
      </c>
      <c r="I785" s="1">
        <v>14</v>
      </c>
      <c r="J785" s="1">
        <v>5</v>
      </c>
      <c r="L785" s="45">
        <f t="shared" si="66"/>
        <v>45799</v>
      </c>
      <c r="M785" s="46">
        <f t="shared" si="62"/>
        <v>45799</v>
      </c>
      <c r="Q785" s="43">
        <f t="shared" si="63"/>
        <v>0</v>
      </c>
      <c r="R785" s="43">
        <f t="shared" ca="1" si="64"/>
        <v>0</v>
      </c>
      <c r="S785" s="22"/>
      <c r="T785" s="25">
        <v>45785</v>
      </c>
    </row>
    <row r="786" spans="1:20" x14ac:dyDescent="0.3">
      <c r="A786" s="13">
        <v>783</v>
      </c>
      <c r="B786" s="1" t="s">
        <v>84</v>
      </c>
      <c r="C786" s="39">
        <f t="shared" ca="1" si="65"/>
        <v>0</v>
      </c>
      <c r="D786" t="s">
        <v>292</v>
      </c>
      <c r="E786" t="s">
        <v>475</v>
      </c>
      <c r="F786" s="7" t="s">
        <v>78</v>
      </c>
      <c r="G786" s="6" t="s">
        <v>681</v>
      </c>
      <c r="H786" s="2" t="s">
        <v>681</v>
      </c>
      <c r="I786" s="1">
        <v>14</v>
      </c>
      <c r="J786" s="1">
        <v>5</v>
      </c>
      <c r="L786" s="45">
        <f t="shared" si="66"/>
        <v>45800</v>
      </c>
      <c r="M786" s="46">
        <f t="shared" si="62"/>
        <v>45800</v>
      </c>
      <c r="Q786" s="43">
        <f t="shared" si="63"/>
        <v>0</v>
      </c>
      <c r="R786" s="43">
        <f t="shared" ca="1" si="64"/>
        <v>0</v>
      </c>
      <c r="S786" s="22"/>
      <c r="T786" s="25">
        <v>45786</v>
      </c>
    </row>
    <row r="787" spans="1:20" x14ac:dyDescent="0.3">
      <c r="A787" s="13">
        <v>784</v>
      </c>
      <c r="B787" s="1" t="s">
        <v>84</v>
      </c>
      <c r="C787" s="39">
        <f t="shared" ca="1" si="65"/>
        <v>0</v>
      </c>
      <c r="D787" t="s">
        <v>292</v>
      </c>
      <c r="E787" t="s">
        <v>476</v>
      </c>
      <c r="F787" s="7" t="s">
        <v>78</v>
      </c>
      <c r="G787" s="6" t="s">
        <v>681</v>
      </c>
      <c r="H787" s="2" t="s">
        <v>681</v>
      </c>
      <c r="I787" s="1">
        <v>14</v>
      </c>
      <c r="J787" s="1">
        <v>5</v>
      </c>
      <c r="L787" s="45">
        <f t="shared" si="66"/>
        <v>45801</v>
      </c>
      <c r="M787" s="46">
        <f t="shared" si="62"/>
        <v>45801</v>
      </c>
      <c r="Q787" s="43">
        <f t="shared" si="63"/>
        <v>0</v>
      </c>
      <c r="R787" s="43">
        <f t="shared" ca="1" si="64"/>
        <v>0</v>
      </c>
      <c r="S787" s="22"/>
      <c r="T787" s="25">
        <v>45787</v>
      </c>
    </row>
    <row r="788" spans="1:20" x14ac:dyDescent="0.3">
      <c r="A788" s="13">
        <v>785</v>
      </c>
      <c r="B788" s="1" t="s">
        <v>84</v>
      </c>
      <c r="C788" s="39">
        <f t="shared" ca="1" si="65"/>
        <v>0</v>
      </c>
      <c r="D788" t="s">
        <v>292</v>
      </c>
      <c r="E788" t="s">
        <v>477</v>
      </c>
      <c r="F788" s="7" t="s">
        <v>78</v>
      </c>
      <c r="G788" s="6" t="s">
        <v>681</v>
      </c>
      <c r="H788" s="2" t="s">
        <v>681</v>
      </c>
      <c r="I788" s="1">
        <v>14</v>
      </c>
      <c r="J788" s="1">
        <v>5</v>
      </c>
      <c r="L788" s="45">
        <f t="shared" si="66"/>
        <v>45802</v>
      </c>
      <c r="M788" s="46">
        <f t="shared" si="62"/>
        <v>45802</v>
      </c>
      <c r="Q788" s="43">
        <f t="shared" si="63"/>
        <v>0</v>
      </c>
      <c r="R788" s="43">
        <f t="shared" ca="1" si="64"/>
        <v>0</v>
      </c>
      <c r="S788" s="22"/>
      <c r="T788" s="25">
        <v>45788</v>
      </c>
    </row>
    <row r="789" spans="1:20" x14ac:dyDescent="0.3">
      <c r="A789" s="13">
        <v>786</v>
      </c>
      <c r="B789" s="1" t="s">
        <v>84</v>
      </c>
      <c r="C789" s="39">
        <f t="shared" ca="1" si="65"/>
        <v>0</v>
      </c>
      <c r="D789" t="s">
        <v>292</v>
      </c>
      <c r="E789" t="s">
        <v>478</v>
      </c>
      <c r="F789" s="7" t="s">
        <v>78</v>
      </c>
      <c r="G789" s="6" t="s">
        <v>681</v>
      </c>
      <c r="H789" s="2" t="s">
        <v>681</v>
      </c>
      <c r="I789" s="1">
        <v>14</v>
      </c>
      <c r="J789" s="1">
        <v>5</v>
      </c>
      <c r="L789" s="45">
        <f t="shared" si="66"/>
        <v>45803</v>
      </c>
      <c r="M789" s="46">
        <f t="shared" si="62"/>
        <v>45803</v>
      </c>
      <c r="Q789" s="43">
        <f t="shared" si="63"/>
        <v>0</v>
      </c>
      <c r="R789" s="43">
        <f t="shared" ca="1" si="64"/>
        <v>0</v>
      </c>
      <c r="S789" s="22"/>
      <c r="T789" s="25">
        <v>45789</v>
      </c>
    </row>
    <row r="790" spans="1:20" x14ac:dyDescent="0.3">
      <c r="A790" s="13">
        <v>787</v>
      </c>
      <c r="B790" s="1" t="s">
        <v>84</v>
      </c>
      <c r="C790" s="39">
        <f t="shared" ca="1" si="65"/>
        <v>0</v>
      </c>
      <c r="D790" t="s">
        <v>292</v>
      </c>
      <c r="E790" t="s">
        <v>479</v>
      </c>
      <c r="F790" s="7" t="s">
        <v>78</v>
      </c>
      <c r="G790" s="6" t="s">
        <v>681</v>
      </c>
      <c r="H790" s="2" t="s">
        <v>681</v>
      </c>
      <c r="I790" s="1">
        <v>14</v>
      </c>
      <c r="J790" s="1">
        <v>5</v>
      </c>
      <c r="L790" s="45">
        <f t="shared" si="66"/>
        <v>45804</v>
      </c>
      <c r="M790" s="46">
        <f t="shared" si="62"/>
        <v>45804</v>
      </c>
      <c r="Q790" s="43">
        <f t="shared" si="63"/>
        <v>0</v>
      </c>
      <c r="R790" s="43">
        <f t="shared" ca="1" si="64"/>
        <v>0</v>
      </c>
      <c r="S790" s="22"/>
      <c r="T790" s="25">
        <v>45790</v>
      </c>
    </row>
    <row r="791" spans="1:20" x14ac:dyDescent="0.3">
      <c r="A791" s="13">
        <v>788</v>
      </c>
      <c r="B791" s="1" t="s">
        <v>84</v>
      </c>
      <c r="C791" s="39">
        <f t="shared" ca="1" si="65"/>
        <v>0</v>
      </c>
      <c r="D791" t="s">
        <v>292</v>
      </c>
      <c r="E791" t="s">
        <v>480</v>
      </c>
      <c r="F791" s="7" t="s">
        <v>78</v>
      </c>
      <c r="G791" s="6" t="s">
        <v>681</v>
      </c>
      <c r="H791" s="2" t="s">
        <v>681</v>
      </c>
      <c r="I791" s="1">
        <v>14</v>
      </c>
      <c r="J791" s="1">
        <v>5</v>
      </c>
      <c r="L791" s="45">
        <f t="shared" si="66"/>
        <v>45805</v>
      </c>
      <c r="M791" s="46">
        <f t="shared" si="62"/>
        <v>45805</v>
      </c>
      <c r="Q791" s="43">
        <f t="shared" si="63"/>
        <v>0</v>
      </c>
      <c r="R791" s="43">
        <f t="shared" ca="1" si="64"/>
        <v>0</v>
      </c>
      <c r="S791" s="22"/>
      <c r="T791" s="25">
        <v>45791</v>
      </c>
    </row>
    <row r="792" spans="1:20" x14ac:dyDescent="0.3">
      <c r="A792" s="13">
        <v>789</v>
      </c>
      <c r="B792" s="1" t="s">
        <v>84</v>
      </c>
      <c r="C792" s="39">
        <f t="shared" ca="1" si="65"/>
        <v>0</v>
      </c>
      <c r="D792" t="s">
        <v>292</v>
      </c>
      <c r="E792" t="s">
        <v>468</v>
      </c>
      <c r="F792" s="7" t="s">
        <v>78</v>
      </c>
      <c r="G792" s="6" t="s">
        <v>681</v>
      </c>
      <c r="H792" s="2" t="s">
        <v>681</v>
      </c>
      <c r="I792" s="1">
        <v>14</v>
      </c>
      <c r="J792" s="1">
        <v>5</v>
      </c>
      <c r="L792" s="45">
        <f t="shared" si="66"/>
        <v>45806</v>
      </c>
      <c r="M792" s="46">
        <f t="shared" si="62"/>
        <v>45806</v>
      </c>
      <c r="Q792" s="43">
        <f t="shared" si="63"/>
        <v>0</v>
      </c>
      <c r="R792" s="43">
        <f t="shared" ca="1" si="64"/>
        <v>0</v>
      </c>
      <c r="S792" s="22"/>
      <c r="T792" s="25">
        <v>45792</v>
      </c>
    </row>
    <row r="793" spans="1:20" x14ac:dyDescent="0.3">
      <c r="A793" s="13">
        <v>790</v>
      </c>
      <c r="B793" s="1" t="s">
        <v>84</v>
      </c>
      <c r="C793" s="39">
        <f t="shared" ca="1" si="65"/>
        <v>0</v>
      </c>
      <c r="D793" t="s">
        <v>292</v>
      </c>
      <c r="E793" t="s">
        <v>481</v>
      </c>
      <c r="F793" s="7" t="s">
        <v>78</v>
      </c>
      <c r="G793" s="6" t="s">
        <v>681</v>
      </c>
      <c r="H793" s="2" t="s">
        <v>681</v>
      </c>
      <c r="I793" s="1">
        <v>14</v>
      </c>
      <c r="J793" s="1">
        <v>5</v>
      </c>
      <c r="L793" s="45">
        <f t="shared" si="66"/>
        <v>45807</v>
      </c>
      <c r="M793" s="46">
        <f t="shared" si="62"/>
        <v>45807</v>
      </c>
      <c r="Q793" s="43">
        <f t="shared" si="63"/>
        <v>0</v>
      </c>
      <c r="R793" s="43">
        <f t="shared" ca="1" si="64"/>
        <v>0</v>
      </c>
      <c r="S793" s="22"/>
      <c r="T793" s="25">
        <v>45793</v>
      </c>
    </row>
    <row r="794" spans="1:20" x14ac:dyDescent="0.3">
      <c r="A794" s="13">
        <v>791</v>
      </c>
      <c r="B794" s="1" t="s">
        <v>84</v>
      </c>
      <c r="C794" s="39">
        <f t="shared" ca="1" si="65"/>
        <v>0</v>
      </c>
      <c r="D794" t="s">
        <v>292</v>
      </c>
      <c r="E794" t="s">
        <v>482</v>
      </c>
      <c r="F794" s="7" t="s">
        <v>78</v>
      </c>
      <c r="G794" s="6" t="s">
        <v>681</v>
      </c>
      <c r="H794" s="2" t="s">
        <v>681</v>
      </c>
      <c r="I794" s="1">
        <v>14</v>
      </c>
      <c r="J794" s="1">
        <v>5</v>
      </c>
      <c r="L794" s="45">
        <f t="shared" si="66"/>
        <v>45808</v>
      </c>
      <c r="M794" s="46">
        <f t="shared" si="62"/>
        <v>45808</v>
      </c>
      <c r="Q794" s="43">
        <f t="shared" si="63"/>
        <v>0</v>
      </c>
      <c r="R794" s="43">
        <f t="shared" ca="1" si="64"/>
        <v>0</v>
      </c>
      <c r="S794" s="22"/>
      <c r="T794" s="25">
        <v>45794</v>
      </c>
    </row>
    <row r="795" spans="1:20" x14ac:dyDescent="0.3">
      <c r="A795" s="13">
        <v>792</v>
      </c>
      <c r="B795" s="1" t="s">
        <v>84</v>
      </c>
      <c r="C795" s="39">
        <f t="shared" ca="1" si="65"/>
        <v>0</v>
      </c>
      <c r="D795" t="s">
        <v>292</v>
      </c>
      <c r="E795" t="s">
        <v>483</v>
      </c>
      <c r="F795" s="7" t="s">
        <v>78</v>
      </c>
      <c r="G795" s="6" t="s">
        <v>681</v>
      </c>
      <c r="H795" s="2" t="s">
        <v>681</v>
      </c>
      <c r="I795" s="1">
        <v>14</v>
      </c>
      <c r="J795" s="1">
        <v>5</v>
      </c>
      <c r="L795" s="45">
        <f t="shared" si="66"/>
        <v>45809</v>
      </c>
      <c r="M795" s="46">
        <f t="shared" si="62"/>
        <v>45809</v>
      </c>
      <c r="Q795" s="43">
        <f t="shared" si="63"/>
        <v>0</v>
      </c>
      <c r="R795" s="43">
        <f t="shared" ca="1" si="64"/>
        <v>0</v>
      </c>
      <c r="S795" s="22"/>
      <c r="T795" s="25">
        <v>45795</v>
      </c>
    </row>
    <row r="796" spans="1:20" x14ac:dyDescent="0.3">
      <c r="A796" s="13">
        <v>793</v>
      </c>
      <c r="B796" s="1" t="s">
        <v>84</v>
      </c>
      <c r="C796" s="39">
        <f t="shared" ca="1" si="65"/>
        <v>0</v>
      </c>
      <c r="D796" t="s">
        <v>292</v>
      </c>
      <c r="E796" t="s">
        <v>484</v>
      </c>
      <c r="F796" s="7" t="s">
        <v>78</v>
      </c>
      <c r="G796" s="6" t="s">
        <v>681</v>
      </c>
      <c r="H796" s="2" t="s">
        <v>681</v>
      </c>
      <c r="I796" s="1">
        <v>14</v>
      </c>
      <c r="J796" s="1">
        <v>5</v>
      </c>
      <c r="L796" s="45">
        <f t="shared" si="66"/>
        <v>45810</v>
      </c>
      <c r="M796" s="46">
        <f t="shared" si="62"/>
        <v>45810</v>
      </c>
      <c r="Q796" s="43">
        <f t="shared" si="63"/>
        <v>0</v>
      </c>
      <c r="R796" s="43">
        <f t="shared" ca="1" si="64"/>
        <v>0</v>
      </c>
      <c r="S796" s="22"/>
      <c r="T796" s="25">
        <v>45796</v>
      </c>
    </row>
    <row r="797" spans="1:20" x14ac:dyDescent="0.3">
      <c r="A797" s="13">
        <v>794</v>
      </c>
      <c r="B797" s="1" t="s">
        <v>84</v>
      </c>
      <c r="C797" s="39">
        <f t="shared" ca="1" si="65"/>
        <v>0</v>
      </c>
      <c r="D797" t="s">
        <v>292</v>
      </c>
      <c r="E797" t="s">
        <v>485</v>
      </c>
      <c r="F797" s="7" t="s">
        <v>78</v>
      </c>
      <c r="G797" s="6" t="s">
        <v>681</v>
      </c>
      <c r="H797" s="2" t="s">
        <v>681</v>
      </c>
      <c r="I797" s="1">
        <v>14</v>
      </c>
      <c r="J797" s="1">
        <v>5</v>
      </c>
      <c r="L797" s="45">
        <f t="shared" si="66"/>
        <v>45811</v>
      </c>
      <c r="M797" s="46">
        <f t="shared" si="62"/>
        <v>45811</v>
      </c>
      <c r="Q797" s="43">
        <f t="shared" si="63"/>
        <v>0</v>
      </c>
      <c r="R797" s="43">
        <f t="shared" ca="1" si="64"/>
        <v>0</v>
      </c>
      <c r="S797" s="22"/>
      <c r="T797" s="25">
        <v>45797</v>
      </c>
    </row>
    <row r="798" spans="1:20" x14ac:dyDescent="0.3">
      <c r="A798" s="13">
        <v>795</v>
      </c>
      <c r="B798" s="1" t="s">
        <v>84</v>
      </c>
      <c r="C798" s="39">
        <f t="shared" ca="1" si="65"/>
        <v>0</v>
      </c>
      <c r="D798" t="s">
        <v>292</v>
      </c>
      <c r="E798" t="s">
        <v>486</v>
      </c>
      <c r="F798" s="7" t="s">
        <v>78</v>
      </c>
      <c r="G798" s="6" t="s">
        <v>681</v>
      </c>
      <c r="H798" s="2" t="s">
        <v>681</v>
      </c>
      <c r="I798" s="1">
        <v>14</v>
      </c>
      <c r="J798" s="1">
        <v>5</v>
      </c>
      <c r="L798" s="45">
        <f t="shared" si="66"/>
        <v>45812</v>
      </c>
      <c r="M798" s="46">
        <f t="shared" si="62"/>
        <v>45812</v>
      </c>
      <c r="Q798" s="43">
        <f t="shared" si="63"/>
        <v>0</v>
      </c>
      <c r="R798" s="43">
        <f t="shared" ca="1" si="64"/>
        <v>0</v>
      </c>
      <c r="S798" s="22"/>
      <c r="T798" s="25">
        <v>45798</v>
      </c>
    </row>
    <row r="799" spans="1:20" x14ac:dyDescent="0.3">
      <c r="A799" s="13">
        <v>796</v>
      </c>
      <c r="B799" s="1" t="s">
        <v>84</v>
      </c>
      <c r="C799" s="39">
        <f t="shared" ca="1" si="65"/>
        <v>0</v>
      </c>
      <c r="D799" t="s">
        <v>292</v>
      </c>
      <c r="E799" t="s">
        <v>487</v>
      </c>
      <c r="F799" s="7" t="s">
        <v>78</v>
      </c>
      <c r="G799" s="6" t="s">
        <v>681</v>
      </c>
      <c r="H799" s="2" t="s">
        <v>681</v>
      </c>
      <c r="I799" s="1">
        <v>14</v>
      </c>
      <c r="J799" s="1">
        <v>5</v>
      </c>
      <c r="L799" s="45">
        <f t="shared" si="66"/>
        <v>45813</v>
      </c>
      <c r="M799" s="46">
        <f t="shared" si="62"/>
        <v>45813</v>
      </c>
      <c r="Q799" s="43">
        <f t="shared" si="63"/>
        <v>0</v>
      </c>
      <c r="R799" s="43">
        <f t="shared" ca="1" si="64"/>
        <v>0</v>
      </c>
      <c r="S799" s="22"/>
      <c r="T799" s="25">
        <v>45799</v>
      </c>
    </row>
    <row r="800" spans="1:20" x14ac:dyDescent="0.3">
      <c r="A800" s="13">
        <v>797</v>
      </c>
      <c r="B800" s="1" t="s">
        <v>84</v>
      </c>
      <c r="C800" s="39">
        <f t="shared" ca="1" si="65"/>
        <v>0</v>
      </c>
      <c r="D800" t="s">
        <v>292</v>
      </c>
      <c r="E800" t="s">
        <v>488</v>
      </c>
      <c r="F800" s="7" t="s">
        <v>78</v>
      </c>
      <c r="G800" s="6" t="s">
        <v>681</v>
      </c>
      <c r="H800" s="2" t="s">
        <v>681</v>
      </c>
      <c r="I800" s="1">
        <v>14</v>
      </c>
      <c r="J800" s="1">
        <v>5</v>
      </c>
      <c r="L800" s="45">
        <f t="shared" si="66"/>
        <v>45814</v>
      </c>
      <c r="M800" s="46">
        <f t="shared" si="62"/>
        <v>45814</v>
      </c>
      <c r="Q800" s="43">
        <f t="shared" si="63"/>
        <v>0</v>
      </c>
      <c r="R800" s="43">
        <f t="shared" ca="1" si="64"/>
        <v>0</v>
      </c>
      <c r="S800" s="22"/>
      <c r="T800" s="25">
        <v>45800</v>
      </c>
    </row>
    <row r="801" spans="1:20" x14ac:dyDescent="0.3">
      <c r="A801" s="13">
        <v>798</v>
      </c>
      <c r="B801" s="1" t="s">
        <v>84</v>
      </c>
      <c r="C801" s="39">
        <f t="shared" ca="1" si="65"/>
        <v>0</v>
      </c>
      <c r="D801" t="s">
        <v>293</v>
      </c>
      <c r="E801" t="s">
        <v>489</v>
      </c>
      <c r="F801" s="7" t="s">
        <v>78</v>
      </c>
      <c r="G801" s="6" t="s">
        <v>681</v>
      </c>
      <c r="H801" s="2" t="s">
        <v>681</v>
      </c>
      <c r="I801" s="1">
        <v>14</v>
      </c>
      <c r="J801" s="1">
        <v>5</v>
      </c>
      <c r="L801" s="45">
        <f t="shared" si="66"/>
        <v>45815</v>
      </c>
      <c r="M801" s="46">
        <f t="shared" ref="M801:M864" si="67">T801+I801</f>
        <v>45815</v>
      </c>
      <c r="Q801" s="43">
        <f t="shared" ref="Q801:Q864" si="68">IF(O801&lt;&gt;0,1,0)</f>
        <v>0</v>
      </c>
      <c r="R801" s="43">
        <f t="shared" ref="R801:R864" ca="1" si="69">IF(AND(L801&lt;($A$2+7), L801&gt;($A$2+6)),1,0)</f>
        <v>0</v>
      </c>
      <c r="S801" s="22"/>
      <c r="T801" s="25">
        <v>45801</v>
      </c>
    </row>
    <row r="802" spans="1:20" x14ac:dyDescent="0.3">
      <c r="A802" s="13">
        <v>799</v>
      </c>
      <c r="B802" s="1" t="s">
        <v>84</v>
      </c>
      <c r="C802" s="39">
        <f t="shared" ca="1" si="65"/>
        <v>0</v>
      </c>
      <c r="D802" t="s">
        <v>293</v>
      </c>
      <c r="E802" t="s">
        <v>490</v>
      </c>
      <c r="F802" s="7" t="s">
        <v>78</v>
      </c>
      <c r="G802" s="6" t="s">
        <v>681</v>
      </c>
      <c r="H802" s="2" t="s">
        <v>681</v>
      </c>
      <c r="I802" s="1">
        <v>14</v>
      </c>
      <c r="J802" s="1">
        <v>5</v>
      </c>
      <c r="L802" s="45">
        <f t="shared" si="66"/>
        <v>45816</v>
      </c>
      <c r="M802" s="46">
        <f t="shared" si="67"/>
        <v>45816</v>
      </c>
      <c r="Q802" s="43">
        <f t="shared" si="68"/>
        <v>0</v>
      </c>
      <c r="R802" s="43">
        <f t="shared" ca="1" si="69"/>
        <v>0</v>
      </c>
      <c r="S802" s="22"/>
      <c r="T802" s="25">
        <v>45802</v>
      </c>
    </row>
    <row r="803" spans="1:20" x14ac:dyDescent="0.3">
      <c r="A803" s="13">
        <v>800</v>
      </c>
      <c r="B803" s="1" t="s">
        <v>84</v>
      </c>
      <c r="C803" s="39">
        <f t="shared" ca="1" si="65"/>
        <v>0</v>
      </c>
      <c r="D803" t="s">
        <v>293</v>
      </c>
      <c r="E803" t="s">
        <v>105</v>
      </c>
      <c r="F803" s="7" t="s">
        <v>78</v>
      </c>
      <c r="G803" s="6" t="s">
        <v>681</v>
      </c>
      <c r="H803" s="2" t="s">
        <v>681</v>
      </c>
      <c r="I803" s="1">
        <v>14</v>
      </c>
      <c r="J803" s="1">
        <v>5</v>
      </c>
      <c r="L803" s="45">
        <f t="shared" si="66"/>
        <v>45817</v>
      </c>
      <c r="M803" s="46">
        <f t="shared" si="67"/>
        <v>45817</v>
      </c>
      <c r="Q803" s="43">
        <f t="shared" si="68"/>
        <v>0</v>
      </c>
      <c r="R803" s="43">
        <f t="shared" ca="1" si="69"/>
        <v>0</v>
      </c>
      <c r="S803" s="22"/>
      <c r="T803" s="25">
        <v>45803</v>
      </c>
    </row>
    <row r="804" spans="1:20" x14ac:dyDescent="0.3">
      <c r="A804" s="13">
        <v>801</v>
      </c>
      <c r="B804" s="1" t="s">
        <v>84</v>
      </c>
      <c r="C804" s="39">
        <f t="shared" ca="1" si="65"/>
        <v>0</v>
      </c>
      <c r="D804" t="s">
        <v>293</v>
      </c>
      <c r="E804" t="s">
        <v>491</v>
      </c>
      <c r="F804" s="7" t="s">
        <v>78</v>
      </c>
      <c r="G804" s="6" t="s">
        <v>681</v>
      </c>
      <c r="H804" s="2" t="s">
        <v>681</v>
      </c>
      <c r="I804" s="1">
        <v>14</v>
      </c>
      <c r="J804" s="1">
        <v>5</v>
      </c>
      <c r="L804" s="45">
        <f t="shared" si="66"/>
        <v>45818</v>
      </c>
      <c r="M804" s="46">
        <f t="shared" si="67"/>
        <v>45818</v>
      </c>
      <c r="Q804" s="43">
        <f t="shared" si="68"/>
        <v>0</v>
      </c>
      <c r="R804" s="43">
        <f t="shared" ca="1" si="69"/>
        <v>0</v>
      </c>
      <c r="S804" s="22"/>
      <c r="T804" s="25">
        <v>45804</v>
      </c>
    </row>
    <row r="805" spans="1:20" x14ac:dyDescent="0.3">
      <c r="A805" s="13">
        <v>802</v>
      </c>
      <c r="B805" s="1" t="s">
        <v>84</v>
      </c>
      <c r="C805" s="39">
        <f t="shared" ca="1" si="65"/>
        <v>0</v>
      </c>
      <c r="D805" t="s">
        <v>293</v>
      </c>
      <c r="E805" t="s">
        <v>492</v>
      </c>
      <c r="F805" s="7" t="s">
        <v>78</v>
      </c>
      <c r="G805" s="6" t="s">
        <v>681</v>
      </c>
      <c r="H805" s="2" t="s">
        <v>681</v>
      </c>
      <c r="I805" s="1">
        <v>14</v>
      </c>
      <c r="J805" s="1">
        <v>5</v>
      </c>
      <c r="L805" s="45">
        <f t="shared" si="66"/>
        <v>45819</v>
      </c>
      <c r="M805" s="46">
        <f t="shared" si="67"/>
        <v>45819</v>
      </c>
      <c r="Q805" s="43">
        <f t="shared" si="68"/>
        <v>0</v>
      </c>
      <c r="R805" s="43">
        <f t="shared" ca="1" si="69"/>
        <v>0</v>
      </c>
      <c r="S805" s="22"/>
      <c r="T805" s="25">
        <v>45805</v>
      </c>
    </row>
    <row r="806" spans="1:20" x14ac:dyDescent="0.3">
      <c r="A806" s="13">
        <v>803</v>
      </c>
      <c r="B806" s="1" t="s">
        <v>84</v>
      </c>
      <c r="C806" s="39">
        <f t="shared" ca="1" si="65"/>
        <v>0</v>
      </c>
      <c r="D806" t="s">
        <v>294</v>
      </c>
      <c r="E806" t="s">
        <v>455</v>
      </c>
      <c r="F806" s="7" t="s">
        <v>78</v>
      </c>
      <c r="G806" s="6" t="s">
        <v>681</v>
      </c>
      <c r="H806" s="2" t="s">
        <v>681</v>
      </c>
      <c r="I806" s="1">
        <v>14</v>
      </c>
      <c r="J806" s="1">
        <v>5</v>
      </c>
      <c r="L806" s="45">
        <f t="shared" si="66"/>
        <v>45820</v>
      </c>
      <c r="M806" s="46">
        <f t="shared" si="67"/>
        <v>45820</v>
      </c>
      <c r="Q806" s="43">
        <f t="shared" si="68"/>
        <v>0</v>
      </c>
      <c r="R806" s="43">
        <f t="shared" ca="1" si="69"/>
        <v>0</v>
      </c>
      <c r="S806" s="22"/>
      <c r="T806" s="25">
        <v>45806</v>
      </c>
    </row>
    <row r="807" spans="1:20" x14ac:dyDescent="0.3">
      <c r="A807" s="13">
        <v>804</v>
      </c>
      <c r="B807" s="1" t="s">
        <v>84</v>
      </c>
      <c r="C807" s="39">
        <f t="shared" ca="1" si="65"/>
        <v>0</v>
      </c>
      <c r="D807" t="s">
        <v>294</v>
      </c>
      <c r="E807" t="s">
        <v>493</v>
      </c>
      <c r="F807" s="7" t="s">
        <v>78</v>
      </c>
      <c r="G807" s="6" t="s">
        <v>681</v>
      </c>
      <c r="H807" s="2" t="s">
        <v>681</v>
      </c>
      <c r="I807" s="1">
        <v>14</v>
      </c>
      <c r="J807" s="1">
        <v>5</v>
      </c>
      <c r="L807" s="45">
        <f t="shared" si="66"/>
        <v>45821</v>
      </c>
      <c r="M807" s="46">
        <f t="shared" si="67"/>
        <v>45821</v>
      </c>
      <c r="Q807" s="43">
        <f t="shared" si="68"/>
        <v>0</v>
      </c>
      <c r="R807" s="43">
        <f t="shared" ca="1" si="69"/>
        <v>0</v>
      </c>
      <c r="S807" s="22"/>
      <c r="T807" s="25">
        <v>45807</v>
      </c>
    </row>
    <row r="808" spans="1:20" x14ac:dyDescent="0.3">
      <c r="A808" s="13">
        <v>805</v>
      </c>
      <c r="B808" s="1" t="s">
        <v>84</v>
      </c>
      <c r="C808" s="39">
        <f t="shared" ca="1" si="65"/>
        <v>0</v>
      </c>
      <c r="D808" t="s">
        <v>294</v>
      </c>
      <c r="E808" t="s">
        <v>494</v>
      </c>
      <c r="F808" s="7" t="s">
        <v>78</v>
      </c>
      <c r="G808" s="6" t="s">
        <v>681</v>
      </c>
      <c r="H808" s="2" t="s">
        <v>681</v>
      </c>
      <c r="I808" s="1">
        <v>14</v>
      </c>
      <c r="J808" s="1">
        <v>5</v>
      </c>
      <c r="L808" s="45">
        <f t="shared" si="66"/>
        <v>45822</v>
      </c>
      <c r="M808" s="46">
        <f t="shared" si="67"/>
        <v>45822</v>
      </c>
      <c r="Q808" s="43">
        <f t="shared" si="68"/>
        <v>0</v>
      </c>
      <c r="R808" s="43">
        <f t="shared" ca="1" si="69"/>
        <v>0</v>
      </c>
      <c r="S808" s="22"/>
      <c r="T808" s="25">
        <v>45808</v>
      </c>
    </row>
    <row r="809" spans="1:20" x14ac:dyDescent="0.3">
      <c r="A809" s="13">
        <v>806</v>
      </c>
      <c r="B809" s="1" t="s">
        <v>84</v>
      </c>
      <c r="C809" s="39">
        <f t="shared" ca="1" si="65"/>
        <v>0</v>
      </c>
      <c r="D809" t="s">
        <v>294</v>
      </c>
      <c r="E809" t="s">
        <v>495</v>
      </c>
      <c r="F809" s="7" t="s">
        <v>78</v>
      </c>
      <c r="G809" s="6" t="s">
        <v>681</v>
      </c>
      <c r="H809" s="2" t="s">
        <v>681</v>
      </c>
      <c r="I809" s="1">
        <v>14</v>
      </c>
      <c r="J809" s="1">
        <v>5</v>
      </c>
      <c r="L809" s="45">
        <f t="shared" si="66"/>
        <v>45823</v>
      </c>
      <c r="M809" s="46">
        <f t="shared" si="67"/>
        <v>45823</v>
      </c>
      <c r="Q809" s="43">
        <f t="shared" si="68"/>
        <v>0</v>
      </c>
      <c r="R809" s="43">
        <f t="shared" ca="1" si="69"/>
        <v>0</v>
      </c>
      <c r="S809" s="22"/>
      <c r="T809" s="25">
        <v>45809</v>
      </c>
    </row>
    <row r="810" spans="1:20" x14ac:dyDescent="0.3">
      <c r="A810" s="13">
        <v>807</v>
      </c>
      <c r="B810" s="1" t="s">
        <v>84</v>
      </c>
      <c r="C810" s="39">
        <f t="shared" ca="1" si="65"/>
        <v>0</v>
      </c>
      <c r="D810" t="s">
        <v>294</v>
      </c>
      <c r="E810" t="s">
        <v>495</v>
      </c>
      <c r="F810" s="7" t="s">
        <v>78</v>
      </c>
      <c r="G810" s="6" t="s">
        <v>681</v>
      </c>
      <c r="H810" s="2" t="s">
        <v>681</v>
      </c>
      <c r="I810" s="1">
        <v>14</v>
      </c>
      <c r="J810" s="1">
        <v>5</v>
      </c>
      <c r="L810" s="45">
        <f t="shared" si="66"/>
        <v>45824</v>
      </c>
      <c r="M810" s="46">
        <f t="shared" si="67"/>
        <v>45824</v>
      </c>
      <c r="Q810" s="43">
        <f t="shared" si="68"/>
        <v>0</v>
      </c>
      <c r="R810" s="43">
        <f t="shared" ca="1" si="69"/>
        <v>0</v>
      </c>
      <c r="S810" s="22"/>
      <c r="T810" s="25">
        <v>45810</v>
      </c>
    </row>
    <row r="811" spans="1:20" x14ac:dyDescent="0.3">
      <c r="A811" s="13">
        <v>808</v>
      </c>
      <c r="B811" s="1" t="s">
        <v>84</v>
      </c>
      <c r="C811" s="39">
        <f t="shared" ca="1" si="65"/>
        <v>0</v>
      </c>
      <c r="D811" t="s">
        <v>294</v>
      </c>
      <c r="E811" t="s">
        <v>496</v>
      </c>
      <c r="F811" s="7" t="s">
        <v>78</v>
      </c>
      <c r="G811" s="6" t="s">
        <v>681</v>
      </c>
      <c r="H811" s="2" t="s">
        <v>681</v>
      </c>
      <c r="I811" s="1">
        <v>14</v>
      </c>
      <c r="J811" s="1">
        <v>5</v>
      </c>
      <c r="L811" s="45">
        <f t="shared" si="66"/>
        <v>45825</v>
      </c>
      <c r="M811" s="46">
        <f t="shared" si="67"/>
        <v>45825</v>
      </c>
      <c r="Q811" s="43">
        <f t="shared" si="68"/>
        <v>0</v>
      </c>
      <c r="R811" s="43">
        <f t="shared" ca="1" si="69"/>
        <v>0</v>
      </c>
      <c r="S811" s="22"/>
      <c r="T811" s="25">
        <v>45811</v>
      </c>
    </row>
    <row r="812" spans="1:20" x14ac:dyDescent="0.3">
      <c r="A812" s="13">
        <v>809</v>
      </c>
      <c r="B812" s="1" t="s">
        <v>84</v>
      </c>
      <c r="C812" s="39">
        <f t="shared" ca="1" si="65"/>
        <v>0</v>
      </c>
      <c r="D812" t="s">
        <v>294</v>
      </c>
      <c r="E812" t="s">
        <v>497</v>
      </c>
      <c r="F812" s="7" t="s">
        <v>78</v>
      </c>
      <c r="G812" s="6" t="s">
        <v>681</v>
      </c>
      <c r="H812" s="2" t="s">
        <v>681</v>
      </c>
      <c r="I812" s="1">
        <v>14</v>
      </c>
      <c r="J812" s="1">
        <v>5</v>
      </c>
      <c r="L812" s="45">
        <f t="shared" si="66"/>
        <v>45826</v>
      </c>
      <c r="M812" s="46">
        <f t="shared" si="67"/>
        <v>45826</v>
      </c>
      <c r="Q812" s="43">
        <f t="shared" si="68"/>
        <v>0</v>
      </c>
      <c r="R812" s="43">
        <f t="shared" ca="1" si="69"/>
        <v>0</v>
      </c>
      <c r="S812" s="22"/>
      <c r="T812" s="25">
        <v>45812</v>
      </c>
    </row>
    <row r="813" spans="1:20" x14ac:dyDescent="0.3">
      <c r="A813" s="13">
        <v>810</v>
      </c>
      <c r="B813" s="1" t="s">
        <v>84</v>
      </c>
      <c r="C813" s="39">
        <f t="shared" ca="1" si="65"/>
        <v>0</v>
      </c>
      <c r="D813" t="s">
        <v>294</v>
      </c>
      <c r="E813" t="s">
        <v>498</v>
      </c>
      <c r="F813" s="7" t="s">
        <v>78</v>
      </c>
      <c r="G813" s="6" t="s">
        <v>681</v>
      </c>
      <c r="H813" s="2" t="s">
        <v>681</v>
      </c>
      <c r="I813" s="1">
        <v>14</v>
      </c>
      <c r="J813" s="1">
        <v>5</v>
      </c>
      <c r="L813" s="45">
        <f t="shared" si="66"/>
        <v>45827</v>
      </c>
      <c r="M813" s="46">
        <f t="shared" si="67"/>
        <v>45827</v>
      </c>
      <c r="Q813" s="43">
        <f t="shared" si="68"/>
        <v>0</v>
      </c>
      <c r="R813" s="43">
        <f t="shared" ca="1" si="69"/>
        <v>0</v>
      </c>
      <c r="S813" s="22"/>
      <c r="T813" s="25">
        <v>45813</v>
      </c>
    </row>
    <row r="814" spans="1:20" x14ac:dyDescent="0.3">
      <c r="A814" s="13">
        <v>811</v>
      </c>
      <c r="B814" s="1" t="s">
        <v>84</v>
      </c>
      <c r="C814" s="39">
        <f t="shared" ca="1" si="65"/>
        <v>0</v>
      </c>
      <c r="D814" t="s">
        <v>294</v>
      </c>
      <c r="E814" t="s">
        <v>498</v>
      </c>
      <c r="F814" s="7" t="s">
        <v>78</v>
      </c>
      <c r="G814" s="6" t="s">
        <v>681</v>
      </c>
      <c r="H814" s="2" t="s">
        <v>681</v>
      </c>
      <c r="I814" s="1">
        <v>14</v>
      </c>
      <c r="J814" s="1">
        <v>5</v>
      </c>
      <c r="L814" s="45">
        <f t="shared" si="66"/>
        <v>45828</v>
      </c>
      <c r="M814" s="46">
        <f t="shared" si="67"/>
        <v>45828</v>
      </c>
      <c r="Q814" s="43">
        <f t="shared" si="68"/>
        <v>0</v>
      </c>
      <c r="R814" s="43">
        <f t="shared" ca="1" si="69"/>
        <v>0</v>
      </c>
      <c r="S814" s="22"/>
      <c r="T814" s="25">
        <v>45814</v>
      </c>
    </row>
    <row r="815" spans="1:20" x14ac:dyDescent="0.3">
      <c r="A815" s="13">
        <v>812</v>
      </c>
      <c r="B815" s="1" t="s">
        <v>84</v>
      </c>
      <c r="C815" s="39">
        <f t="shared" ca="1" si="65"/>
        <v>0</v>
      </c>
      <c r="D815" t="s">
        <v>294</v>
      </c>
      <c r="E815" t="s">
        <v>499</v>
      </c>
      <c r="F815" s="7" t="s">
        <v>78</v>
      </c>
      <c r="G815" s="6" t="s">
        <v>681</v>
      </c>
      <c r="H815" s="2" t="s">
        <v>681</v>
      </c>
      <c r="I815" s="1">
        <v>14</v>
      </c>
      <c r="J815" s="1">
        <v>5</v>
      </c>
      <c r="L815" s="45">
        <f t="shared" si="66"/>
        <v>45829</v>
      </c>
      <c r="M815" s="46">
        <f t="shared" si="67"/>
        <v>45829</v>
      </c>
      <c r="Q815" s="43">
        <f t="shared" si="68"/>
        <v>0</v>
      </c>
      <c r="R815" s="43">
        <f t="shared" ca="1" si="69"/>
        <v>0</v>
      </c>
      <c r="S815" s="22"/>
      <c r="T815" s="25">
        <v>45815</v>
      </c>
    </row>
    <row r="816" spans="1:20" x14ac:dyDescent="0.3">
      <c r="A816" s="13">
        <v>813</v>
      </c>
      <c r="B816" s="1" t="s">
        <v>84</v>
      </c>
      <c r="C816" s="39">
        <f t="shared" ca="1" si="65"/>
        <v>0</v>
      </c>
      <c r="D816" t="s">
        <v>294</v>
      </c>
      <c r="E816" t="s">
        <v>500</v>
      </c>
      <c r="F816" s="7" t="s">
        <v>78</v>
      </c>
      <c r="G816" s="6" t="s">
        <v>681</v>
      </c>
      <c r="H816" s="2" t="s">
        <v>681</v>
      </c>
      <c r="I816" s="1">
        <v>14</v>
      </c>
      <c r="J816" s="1">
        <v>5</v>
      </c>
      <c r="L816" s="45">
        <f t="shared" si="66"/>
        <v>45830</v>
      </c>
      <c r="M816" s="46">
        <f t="shared" si="67"/>
        <v>45830</v>
      </c>
      <c r="Q816" s="43">
        <f t="shared" si="68"/>
        <v>0</v>
      </c>
      <c r="R816" s="43">
        <f t="shared" ca="1" si="69"/>
        <v>0</v>
      </c>
      <c r="S816" s="22"/>
      <c r="T816" s="25">
        <v>45816</v>
      </c>
    </row>
    <row r="817" spans="1:20" x14ac:dyDescent="0.3">
      <c r="A817" s="13">
        <v>814</v>
      </c>
      <c r="B817" s="1" t="s">
        <v>84</v>
      </c>
      <c r="C817" s="39">
        <f t="shared" ca="1" si="65"/>
        <v>0</v>
      </c>
      <c r="D817" t="s">
        <v>294</v>
      </c>
      <c r="E817" t="s">
        <v>501</v>
      </c>
      <c r="F817" s="7" t="s">
        <v>78</v>
      </c>
      <c r="G817" s="6" t="s">
        <v>681</v>
      </c>
      <c r="H817" s="2" t="s">
        <v>681</v>
      </c>
      <c r="I817" s="1">
        <v>14</v>
      </c>
      <c r="J817" s="1">
        <v>5</v>
      </c>
      <c r="L817" s="45">
        <f t="shared" si="66"/>
        <v>45831</v>
      </c>
      <c r="M817" s="46">
        <f t="shared" si="67"/>
        <v>45831</v>
      </c>
      <c r="Q817" s="43">
        <f t="shared" si="68"/>
        <v>0</v>
      </c>
      <c r="R817" s="43">
        <f t="shared" ca="1" si="69"/>
        <v>0</v>
      </c>
      <c r="S817" s="22"/>
      <c r="T817" s="25">
        <v>45817</v>
      </c>
    </row>
    <row r="818" spans="1:20" x14ac:dyDescent="0.3">
      <c r="A818" s="13">
        <v>815</v>
      </c>
      <c r="B818" s="1" t="s">
        <v>84</v>
      </c>
      <c r="C818" s="39">
        <f t="shared" ca="1" si="65"/>
        <v>0</v>
      </c>
      <c r="D818" t="s">
        <v>294</v>
      </c>
      <c r="E818" t="s">
        <v>502</v>
      </c>
      <c r="F818" s="7" t="s">
        <v>78</v>
      </c>
      <c r="G818" s="6" t="s">
        <v>681</v>
      </c>
      <c r="H818" s="2" t="s">
        <v>681</v>
      </c>
      <c r="I818" s="1">
        <v>14</v>
      </c>
      <c r="J818" s="1">
        <v>5</v>
      </c>
      <c r="L818" s="45">
        <f t="shared" si="66"/>
        <v>45832</v>
      </c>
      <c r="M818" s="46">
        <f t="shared" si="67"/>
        <v>45832</v>
      </c>
      <c r="Q818" s="43">
        <f t="shared" si="68"/>
        <v>0</v>
      </c>
      <c r="R818" s="43">
        <f t="shared" ca="1" si="69"/>
        <v>0</v>
      </c>
      <c r="S818" s="22"/>
      <c r="T818" s="25">
        <v>45818</v>
      </c>
    </row>
    <row r="819" spans="1:20" x14ac:dyDescent="0.3">
      <c r="A819" s="13">
        <v>816</v>
      </c>
      <c r="B819" s="1" t="s">
        <v>84</v>
      </c>
      <c r="C819" s="39">
        <f t="shared" ca="1" si="65"/>
        <v>0</v>
      </c>
      <c r="D819" t="s">
        <v>295</v>
      </c>
      <c r="E819" t="s">
        <v>503</v>
      </c>
      <c r="F819" s="7" t="s">
        <v>78</v>
      </c>
      <c r="G819" s="6" t="s">
        <v>681</v>
      </c>
      <c r="H819" s="2" t="s">
        <v>681</v>
      </c>
      <c r="I819" s="1">
        <v>90</v>
      </c>
      <c r="J819" s="1">
        <v>5</v>
      </c>
      <c r="L819" s="45">
        <f t="shared" si="66"/>
        <v>45909</v>
      </c>
      <c r="M819" s="46">
        <f t="shared" si="67"/>
        <v>45909</v>
      </c>
      <c r="Q819" s="43">
        <f t="shared" si="68"/>
        <v>0</v>
      </c>
      <c r="R819" s="43">
        <f t="shared" ca="1" si="69"/>
        <v>0</v>
      </c>
      <c r="S819" s="22"/>
      <c r="T819" s="25">
        <v>45819</v>
      </c>
    </row>
    <row r="820" spans="1:20" x14ac:dyDescent="0.3">
      <c r="A820" s="13">
        <v>817</v>
      </c>
      <c r="B820" s="1" t="s">
        <v>84</v>
      </c>
      <c r="C820" s="39">
        <f t="shared" ca="1" si="65"/>
        <v>0</v>
      </c>
      <c r="D820" t="s">
        <v>295</v>
      </c>
      <c r="E820" t="s">
        <v>504</v>
      </c>
      <c r="F820" s="7" t="s">
        <v>78</v>
      </c>
      <c r="G820" s="6" t="s">
        <v>681</v>
      </c>
      <c r="H820" s="2" t="s">
        <v>681</v>
      </c>
      <c r="I820" s="1">
        <v>90</v>
      </c>
      <c r="J820" s="1">
        <v>5</v>
      </c>
      <c r="L820" s="45">
        <f t="shared" si="66"/>
        <v>45910</v>
      </c>
      <c r="M820" s="46">
        <f t="shared" si="67"/>
        <v>45910</v>
      </c>
      <c r="Q820" s="43">
        <f t="shared" si="68"/>
        <v>0</v>
      </c>
      <c r="R820" s="43">
        <f t="shared" ca="1" si="69"/>
        <v>0</v>
      </c>
      <c r="S820" s="22"/>
      <c r="T820" s="25">
        <v>45820</v>
      </c>
    </row>
    <row r="821" spans="1:20" x14ac:dyDescent="0.3">
      <c r="A821" s="13">
        <v>818</v>
      </c>
      <c r="B821" s="1" t="s">
        <v>84</v>
      </c>
      <c r="C821" s="39">
        <f t="shared" ca="1" si="65"/>
        <v>0</v>
      </c>
      <c r="D821" t="s">
        <v>295</v>
      </c>
      <c r="E821" t="s">
        <v>505</v>
      </c>
      <c r="F821" s="7" t="s">
        <v>78</v>
      </c>
      <c r="G821" s="6" t="s">
        <v>681</v>
      </c>
      <c r="H821" s="2" t="s">
        <v>681</v>
      </c>
      <c r="I821" s="1">
        <v>90</v>
      </c>
      <c r="J821" s="1">
        <v>5</v>
      </c>
      <c r="L821" s="45">
        <f t="shared" si="66"/>
        <v>45911</v>
      </c>
      <c r="M821" s="46">
        <f t="shared" si="67"/>
        <v>45911</v>
      </c>
      <c r="Q821" s="43">
        <f t="shared" si="68"/>
        <v>0</v>
      </c>
      <c r="R821" s="43">
        <f t="shared" ca="1" si="69"/>
        <v>0</v>
      </c>
      <c r="S821" s="22"/>
      <c r="T821" s="25">
        <v>45821</v>
      </c>
    </row>
    <row r="822" spans="1:20" x14ac:dyDescent="0.3">
      <c r="A822" s="13">
        <v>819</v>
      </c>
      <c r="B822" s="1" t="s">
        <v>84</v>
      </c>
      <c r="C822" s="39">
        <f t="shared" ca="1" si="65"/>
        <v>0</v>
      </c>
      <c r="D822" t="s">
        <v>295</v>
      </c>
      <c r="E822" t="s">
        <v>506</v>
      </c>
      <c r="F822" s="7" t="s">
        <v>78</v>
      </c>
      <c r="G822" s="6" t="s">
        <v>681</v>
      </c>
      <c r="H822" s="2" t="s">
        <v>681</v>
      </c>
      <c r="I822" s="1">
        <v>90</v>
      </c>
      <c r="J822" s="1">
        <v>5</v>
      </c>
      <c r="L822" s="45">
        <f t="shared" si="66"/>
        <v>45912</v>
      </c>
      <c r="M822" s="46">
        <f t="shared" si="67"/>
        <v>45912</v>
      </c>
      <c r="Q822" s="43">
        <f t="shared" si="68"/>
        <v>0</v>
      </c>
      <c r="R822" s="43">
        <f t="shared" ca="1" si="69"/>
        <v>0</v>
      </c>
      <c r="S822" s="22"/>
      <c r="T822" s="25">
        <v>45822</v>
      </c>
    </row>
    <row r="823" spans="1:20" x14ac:dyDescent="0.3">
      <c r="A823" s="13">
        <v>820</v>
      </c>
      <c r="B823" s="1" t="s">
        <v>84</v>
      </c>
      <c r="C823" s="39">
        <f t="shared" ca="1" si="65"/>
        <v>0</v>
      </c>
      <c r="D823" t="s">
        <v>295</v>
      </c>
      <c r="E823" t="s">
        <v>442</v>
      </c>
      <c r="F823" s="7" t="s">
        <v>78</v>
      </c>
      <c r="G823" s="6" t="s">
        <v>681</v>
      </c>
      <c r="H823" s="2" t="s">
        <v>681</v>
      </c>
      <c r="I823" s="1">
        <v>90</v>
      </c>
      <c r="J823" s="1">
        <v>5</v>
      </c>
      <c r="L823" s="45">
        <f t="shared" si="66"/>
        <v>45913</v>
      </c>
      <c r="M823" s="46">
        <f t="shared" si="67"/>
        <v>45913</v>
      </c>
      <c r="Q823" s="43">
        <f t="shared" si="68"/>
        <v>0</v>
      </c>
      <c r="R823" s="43">
        <f t="shared" ca="1" si="69"/>
        <v>0</v>
      </c>
      <c r="S823" s="22"/>
      <c r="T823" s="25">
        <v>45823</v>
      </c>
    </row>
    <row r="824" spans="1:20" x14ac:dyDescent="0.3">
      <c r="A824" s="13">
        <v>821</v>
      </c>
      <c r="B824" s="1" t="s">
        <v>84</v>
      </c>
      <c r="C824" s="39">
        <f t="shared" ca="1" si="65"/>
        <v>0</v>
      </c>
      <c r="D824" t="s">
        <v>296</v>
      </c>
      <c r="E824" t="s">
        <v>507</v>
      </c>
      <c r="F824" s="7" t="s">
        <v>78</v>
      </c>
      <c r="G824" s="6" t="s">
        <v>681</v>
      </c>
      <c r="H824" s="2" t="s">
        <v>681</v>
      </c>
      <c r="I824" s="1">
        <v>30</v>
      </c>
      <c r="J824" s="1">
        <v>5</v>
      </c>
      <c r="L824" s="45">
        <f t="shared" si="66"/>
        <v>45854</v>
      </c>
      <c r="M824" s="46">
        <f t="shared" si="67"/>
        <v>45854</v>
      </c>
      <c r="Q824" s="43">
        <f t="shared" si="68"/>
        <v>0</v>
      </c>
      <c r="R824" s="43">
        <f t="shared" ca="1" si="69"/>
        <v>0</v>
      </c>
      <c r="S824" s="22"/>
      <c r="T824" s="25">
        <v>45824</v>
      </c>
    </row>
    <row r="825" spans="1:20" x14ac:dyDescent="0.3">
      <c r="A825" s="13">
        <v>822</v>
      </c>
      <c r="B825" s="1" t="s">
        <v>84</v>
      </c>
      <c r="C825" s="39">
        <f t="shared" ca="1" si="65"/>
        <v>0</v>
      </c>
      <c r="D825" t="s">
        <v>296</v>
      </c>
      <c r="E825" t="s">
        <v>508</v>
      </c>
      <c r="F825" s="7" t="s">
        <v>78</v>
      </c>
      <c r="G825" s="6" t="s">
        <v>681</v>
      </c>
      <c r="H825" s="2" t="s">
        <v>681</v>
      </c>
      <c r="I825" s="1">
        <v>30</v>
      </c>
      <c r="J825" s="1">
        <v>5</v>
      </c>
      <c r="L825" s="45">
        <f t="shared" si="66"/>
        <v>45855</v>
      </c>
      <c r="M825" s="46">
        <f t="shared" si="67"/>
        <v>45855</v>
      </c>
      <c r="Q825" s="43">
        <f t="shared" si="68"/>
        <v>0</v>
      </c>
      <c r="R825" s="43">
        <f t="shared" ca="1" si="69"/>
        <v>0</v>
      </c>
      <c r="S825" s="22"/>
      <c r="T825" s="25">
        <v>45825</v>
      </c>
    </row>
    <row r="826" spans="1:20" x14ac:dyDescent="0.3">
      <c r="A826" s="13">
        <v>823</v>
      </c>
      <c r="B826" s="1" t="s">
        <v>84</v>
      </c>
      <c r="C826" s="39">
        <f t="shared" ca="1" si="65"/>
        <v>0</v>
      </c>
      <c r="D826" t="s">
        <v>296</v>
      </c>
      <c r="E826" t="s">
        <v>509</v>
      </c>
      <c r="F826" s="7" t="s">
        <v>78</v>
      </c>
      <c r="G826" s="6" t="s">
        <v>681</v>
      </c>
      <c r="H826" s="2" t="s">
        <v>681</v>
      </c>
      <c r="I826" s="1">
        <v>30</v>
      </c>
      <c r="J826" s="1">
        <v>5</v>
      </c>
      <c r="L826" s="45">
        <f t="shared" si="66"/>
        <v>45856</v>
      </c>
      <c r="M826" s="46">
        <f t="shared" si="67"/>
        <v>45856</v>
      </c>
      <c r="Q826" s="43">
        <f t="shared" si="68"/>
        <v>0</v>
      </c>
      <c r="R826" s="43">
        <f t="shared" ca="1" si="69"/>
        <v>0</v>
      </c>
      <c r="S826" s="22"/>
      <c r="T826" s="25">
        <v>45826</v>
      </c>
    </row>
    <row r="827" spans="1:20" x14ac:dyDescent="0.3">
      <c r="A827" s="13">
        <v>824</v>
      </c>
      <c r="B827" s="1" t="s">
        <v>84</v>
      </c>
      <c r="C827" s="39">
        <f t="shared" ca="1" si="65"/>
        <v>0</v>
      </c>
      <c r="D827" t="s">
        <v>297</v>
      </c>
      <c r="E827" t="s">
        <v>510</v>
      </c>
      <c r="F827" s="7" t="s">
        <v>78</v>
      </c>
      <c r="G827" s="6" t="s">
        <v>681</v>
      </c>
      <c r="H827" s="2" t="s">
        <v>681</v>
      </c>
      <c r="I827" s="1">
        <v>14</v>
      </c>
      <c r="J827" s="1">
        <v>5</v>
      </c>
      <c r="L827" s="45">
        <f t="shared" si="66"/>
        <v>45841</v>
      </c>
      <c r="M827" s="46">
        <f t="shared" si="67"/>
        <v>45841</v>
      </c>
      <c r="Q827" s="43">
        <f t="shared" si="68"/>
        <v>0</v>
      </c>
      <c r="R827" s="43">
        <f t="shared" ca="1" si="69"/>
        <v>0</v>
      </c>
      <c r="S827" s="22"/>
      <c r="T827" s="25">
        <v>45827</v>
      </c>
    </row>
    <row r="828" spans="1:20" x14ac:dyDescent="0.3">
      <c r="A828" s="13">
        <v>825</v>
      </c>
      <c r="B828" s="1" t="s">
        <v>84</v>
      </c>
      <c r="C828" s="39">
        <f t="shared" ca="1" si="65"/>
        <v>0</v>
      </c>
      <c r="D828" t="s">
        <v>297</v>
      </c>
      <c r="E828" t="s">
        <v>511</v>
      </c>
      <c r="F828" s="7" t="s">
        <v>78</v>
      </c>
      <c r="G828" s="6" t="s">
        <v>681</v>
      </c>
      <c r="H828" s="2" t="s">
        <v>681</v>
      </c>
      <c r="I828" s="1">
        <v>14</v>
      </c>
      <c r="J828" s="1">
        <v>5</v>
      </c>
      <c r="L828" s="45">
        <f t="shared" si="66"/>
        <v>45842</v>
      </c>
      <c r="M828" s="46">
        <f t="shared" si="67"/>
        <v>45842</v>
      </c>
      <c r="Q828" s="43">
        <f t="shared" si="68"/>
        <v>0</v>
      </c>
      <c r="R828" s="43">
        <f t="shared" ca="1" si="69"/>
        <v>0</v>
      </c>
      <c r="S828" s="22"/>
      <c r="T828" s="25">
        <v>45828</v>
      </c>
    </row>
    <row r="829" spans="1:20" x14ac:dyDescent="0.3">
      <c r="A829" s="13">
        <v>826</v>
      </c>
      <c r="B829" s="1" t="s">
        <v>84</v>
      </c>
      <c r="C829" s="39">
        <f t="shared" ca="1" si="65"/>
        <v>0</v>
      </c>
      <c r="D829" t="s">
        <v>297</v>
      </c>
      <c r="E829" t="s">
        <v>512</v>
      </c>
      <c r="F829" s="7" t="s">
        <v>78</v>
      </c>
      <c r="G829" s="6" t="s">
        <v>681</v>
      </c>
      <c r="H829" s="2" t="s">
        <v>681</v>
      </c>
      <c r="I829" s="1">
        <v>14</v>
      </c>
      <c r="J829" s="1">
        <v>5</v>
      </c>
      <c r="L829" s="45">
        <f t="shared" si="66"/>
        <v>45843</v>
      </c>
      <c r="M829" s="46">
        <f t="shared" si="67"/>
        <v>45843</v>
      </c>
      <c r="Q829" s="43">
        <f t="shared" si="68"/>
        <v>0</v>
      </c>
      <c r="R829" s="43">
        <f t="shared" ca="1" si="69"/>
        <v>0</v>
      </c>
      <c r="S829" s="22"/>
      <c r="T829" s="25">
        <v>45829</v>
      </c>
    </row>
    <row r="830" spans="1:20" x14ac:dyDescent="0.3">
      <c r="A830" s="13">
        <v>827</v>
      </c>
      <c r="B830" s="1" t="s">
        <v>84</v>
      </c>
      <c r="C830" s="39">
        <f t="shared" ca="1" si="65"/>
        <v>0</v>
      </c>
      <c r="D830" t="s">
        <v>297</v>
      </c>
      <c r="E830" t="s">
        <v>513</v>
      </c>
      <c r="F830" s="7" t="s">
        <v>78</v>
      </c>
      <c r="G830" s="6" t="s">
        <v>681</v>
      </c>
      <c r="H830" s="2" t="s">
        <v>681</v>
      </c>
      <c r="I830" s="1">
        <v>14</v>
      </c>
      <c r="J830" s="1">
        <v>5</v>
      </c>
      <c r="L830" s="45">
        <f t="shared" si="66"/>
        <v>45844</v>
      </c>
      <c r="M830" s="46">
        <f t="shared" si="67"/>
        <v>45844</v>
      </c>
      <c r="Q830" s="43">
        <f t="shared" si="68"/>
        <v>0</v>
      </c>
      <c r="R830" s="43">
        <f t="shared" ca="1" si="69"/>
        <v>0</v>
      </c>
      <c r="S830" s="22"/>
      <c r="T830" s="25">
        <v>45830</v>
      </c>
    </row>
    <row r="831" spans="1:20" x14ac:dyDescent="0.3">
      <c r="A831" s="13">
        <v>828</v>
      </c>
      <c r="B831" s="1" t="s">
        <v>84</v>
      </c>
      <c r="C831" s="39">
        <f t="shared" ca="1" si="65"/>
        <v>0</v>
      </c>
      <c r="D831" t="s">
        <v>297</v>
      </c>
      <c r="E831" t="s">
        <v>514</v>
      </c>
      <c r="F831" s="7" t="s">
        <v>78</v>
      </c>
      <c r="G831" s="6" t="s">
        <v>681</v>
      </c>
      <c r="H831" s="2" t="s">
        <v>681</v>
      </c>
      <c r="I831" s="1">
        <v>14</v>
      </c>
      <c r="J831" s="1">
        <v>5</v>
      </c>
      <c r="L831" s="45">
        <f t="shared" si="66"/>
        <v>45845</v>
      </c>
      <c r="M831" s="46">
        <f t="shared" si="67"/>
        <v>45845</v>
      </c>
      <c r="Q831" s="43">
        <f t="shared" si="68"/>
        <v>0</v>
      </c>
      <c r="R831" s="43">
        <f t="shared" ca="1" si="69"/>
        <v>0</v>
      </c>
      <c r="S831" s="22"/>
      <c r="T831" s="25">
        <v>45831</v>
      </c>
    </row>
    <row r="832" spans="1:20" x14ac:dyDescent="0.3">
      <c r="A832" s="13">
        <v>829</v>
      </c>
      <c r="B832" s="1" t="s">
        <v>84</v>
      </c>
      <c r="C832" s="39">
        <f t="shared" ca="1" si="65"/>
        <v>0</v>
      </c>
      <c r="D832" t="s">
        <v>297</v>
      </c>
      <c r="E832" t="s">
        <v>515</v>
      </c>
      <c r="F832" s="7" t="s">
        <v>78</v>
      </c>
      <c r="G832" s="6" t="s">
        <v>681</v>
      </c>
      <c r="H832" s="2" t="s">
        <v>681</v>
      </c>
      <c r="I832" s="1">
        <v>14</v>
      </c>
      <c r="J832" s="1">
        <v>5</v>
      </c>
      <c r="L832" s="45">
        <f t="shared" si="66"/>
        <v>45846</v>
      </c>
      <c r="M832" s="46">
        <f t="shared" si="67"/>
        <v>45846</v>
      </c>
      <c r="Q832" s="43">
        <f t="shared" si="68"/>
        <v>0</v>
      </c>
      <c r="R832" s="43">
        <f t="shared" ca="1" si="69"/>
        <v>0</v>
      </c>
      <c r="S832" s="22"/>
      <c r="T832" s="25">
        <v>45832</v>
      </c>
    </row>
    <row r="833" spans="1:20" x14ac:dyDescent="0.3">
      <c r="A833" s="13">
        <v>830</v>
      </c>
      <c r="B833" s="1" t="s">
        <v>84</v>
      </c>
      <c r="C833" s="39">
        <f t="shared" ca="1" si="65"/>
        <v>0</v>
      </c>
      <c r="D833" t="s">
        <v>297</v>
      </c>
      <c r="E833" t="s">
        <v>516</v>
      </c>
      <c r="F833" s="7" t="s">
        <v>78</v>
      </c>
      <c r="G833" s="6" t="s">
        <v>681</v>
      </c>
      <c r="H833" s="2" t="s">
        <v>681</v>
      </c>
      <c r="I833" s="1">
        <v>14</v>
      </c>
      <c r="J833" s="1">
        <v>5</v>
      </c>
      <c r="L833" s="45">
        <f t="shared" si="66"/>
        <v>45847</v>
      </c>
      <c r="M833" s="46">
        <f t="shared" si="67"/>
        <v>45847</v>
      </c>
      <c r="Q833" s="43">
        <f t="shared" si="68"/>
        <v>0</v>
      </c>
      <c r="R833" s="43">
        <f t="shared" ca="1" si="69"/>
        <v>0</v>
      </c>
      <c r="S833" s="22"/>
      <c r="T833" s="25">
        <v>45833</v>
      </c>
    </row>
    <row r="834" spans="1:20" x14ac:dyDescent="0.3">
      <c r="A834" s="13">
        <v>831</v>
      </c>
      <c r="B834" s="1" t="s">
        <v>84</v>
      </c>
      <c r="C834" s="39">
        <f t="shared" ca="1" si="65"/>
        <v>0</v>
      </c>
      <c r="D834" t="s">
        <v>297</v>
      </c>
      <c r="E834" t="s">
        <v>517</v>
      </c>
      <c r="F834" s="7" t="s">
        <v>78</v>
      </c>
      <c r="G834" s="6" t="s">
        <v>681</v>
      </c>
      <c r="H834" s="2" t="s">
        <v>681</v>
      </c>
      <c r="I834" s="1">
        <v>14</v>
      </c>
      <c r="J834" s="1">
        <v>5</v>
      </c>
      <c r="L834" s="45">
        <f t="shared" si="66"/>
        <v>45848</v>
      </c>
      <c r="M834" s="46">
        <f t="shared" si="67"/>
        <v>45848</v>
      </c>
      <c r="Q834" s="43">
        <f t="shared" si="68"/>
        <v>0</v>
      </c>
      <c r="R834" s="43">
        <f t="shared" ca="1" si="69"/>
        <v>0</v>
      </c>
      <c r="S834" s="22"/>
      <c r="T834" s="25">
        <v>45834</v>
      </c>
    </row>
    <row r="835" spans="1:20" x14ac:dyDescent="0.3">
      <c r="A835" s="13">
        <v>832</v>
      </c>
      <c r="B835" s="1" t="s">
        <v>84</v>
      </c>
      <c r="C835" s="39">
        <f t="shared" ca="1" si="65"/>
        <v>0</v>
      </c>
      <c r="D835" t="s">
        <v>42</v>
      </c>
      <c r="E835" t="s">
        <v>518</v>
      </c>
      <c r="F835" s="7" t="s">
        <v>78</v>
      </c>
      <c r="G835" s="6" t="s">
        <v>681</v>
      </c>
      <c r="H835" s="2" t="s">
        <v>681</v>
      </c>
      <c r="I835" s="1">
        <v>14</v>
      </c>
      <c r="J835" s="1">
        <v>5</v>
      </c>
      <c r="L835" s="45">
        <f t="shared" si="66"/>
        <v>45849</v>
      </c>
      <c r="M835" s="46">
        <f t="shared" si="67"/>
        <v>45849</v>
      </c>
      <c r="Q835" s="43">
        <f t="shared" si="68"/>
        <v>0</v>
      </c>
      <c r="R835" s="43">
        <f t="shared" ca="1" si="69"/>
        <v>0</v>
      </c>
      <c r="S835" s="22"/>
      <c r="T835" s="25">
        <v>45835</v>
      </c>
    </row>
    <row r="836" spans="1:20" x14ac:dyDescent="0.3">
      <c r="A836" s="13">
        <v>833</v>
      </c>
      <c r="B836" s="1" t="s">
        <v>84</v>
      </c>
      <c r="C836" s="39">
        <f t="shared" ca="1" si="65"/>
        <v>0</v>
      </c>
      <c r="D836" t="s">
        <v>42</v>
      </c>
      <c r="E836" t="s">
        <v>519</v>
      </c>
      <c r="F836" s="7" t="s">
        <v>78</v>
      </c>
      <c r="G836" s="6" t="s">
        <v>681</v>
      </c>
      <c r="H836" s="2" t="s">
        <v>681</v>
      </c>
      <c r="I836" s="1">
        <v>14</v>
      </c>
      <c r="J836" s="1">
        <v>5</v>
      </c>
      <c r="L836" s="45">
        <f t="shared" si="66"/>
        <v>45850</v>
      </c>
      <c r="M836" s="46">
        <f t="shared" si="67"/>
        <v>45850</v>
      </c>
      <c r="Q836" s="43">
        <f t="shared" si="68"/>
        <v>0</v>
      </c>
      <c r="R836" s="43">
        <f t="shared" ca="1" si="69"/>
        <v>0</v>
      </c>
      <c r="S836" s="22"/>
      <c r="T836" s="25">
        <v>45836</v>
      </c>
    </row>
    <row r="837" spans="1:20" x14ac:dyDescent="0.3">
      <c r="A837" s="13">
        <v>834</v>
      </c>
      <c r="B837" s="1" t="s">
        <v>84</v>
      </c>
      <c r="C837" s="39">
        <f t="shared" ref="C837:C900" ca="1" si="70">IF(L837&lt;=$A$2,1,0)</f>
        <v>0</v>
      </c>
      <c r="D837" t="s">
        <v>298</v>
      </c>
      <c r="E837" t="s">
        <v>520</v>
      </c>
      <c r="F837" s="7" t="s">
        <v>78</v>
      </c>
      <c r="G837" s="6" t="s">
        <v>681</v>
      </c>
      <c r="H837" s="2" t="s">
        <v>681</v>
      </c>
      <c r="I837" s="1">
        <v>14</v>
      </c>
      <c r="J837" s="1">
        <v>5</v>
      </c>
      <c r="L837" s="45">
        <f t="shared" ref="L837:L900" si="71">IF(N837="",M837,N837)</f>
        <v>45851</v>
      </c>
      <c r="M837" s="46">
        <f t="shared" si="67"/>
        <v>45851</v>
      </c>
      <c r="Q837" s="43">
        <f t="shared" si="68"/>
        <v>0</v>
      </c>
      <c r="R837" s="43">
        <f t="shared" ca="1" si="69"/>
        <v>0</v>
      </c>
      <c r="S837" s="22"/>
      <c r="T837" s="25">
        <v>45837</v>
      </c>
    </row>
    <row r="838" spans="1:20" x14ac:dyDescent="0.3">
      <c r="A838" s="13">
        <v>835</v>
      </c>
      <c r="B838" s="1" t="s">
        <v>84</v>
      </c>
      <c r="C838" s="39">
        <f t="shared" ca="1" si="70"/>
        <v>0</v>
      </c>
      <c r="D838" t="s">
        <v>299</v>
      </c>
      <c r="E838" t="s">
        <v>142</v>
      </c>
      <c r="F838" s="7" t="s">
        <v>78</v>
      </c>
      <c r="G838" s="6" t="s">
        <v>681</v>
      </c>
      <c r="H838" s="2" t="s">
        <v>681</v>
      </c>
      <c r="I838" s="1">
        <v>90</v>
      </c>
      <c r="J838" s="1">
        <v>5</v>
      </c>
      <c r="L838" s="45">
        <f t="shared" si="71"/>
        <v>45928</v>
      </c>
      <c r="M838" s="46">
        <f t="shared" si="67"/>
        <v>45928</v>
      </c>
      <c r="Q838" s="43">
        <f t="shared" si="68"/>
        <v>0</v>
      </c>
      <c r="R838" s="43">
        <f t="shared" ca="1" si="69"/>
        <v>0</v>
      </c>
      <c r="S838" s="22"/>
      <c r="T838" s="25">
        <v>45838</v>
      </c>
    </row>
    <row r="839" spans="1:20" x14ac:dyDescent="0.3">
      <c r="A839" s="13">
        <v>836</v>
      </c>
      <c r="B839" s="1" t="s">
        <v>84</v>
      </c>
      <c r="C839" s="39">
        <f t="shared" ca="1" si="70"/>
        <v>0</v>
      </c>
      <c r="D839" t="s">
        <v>299</v>
      </c>
      <c r="E839" t="s">
        <v>521</v>
      </c>
      <c r="F839" s="7" t="s">
        <v>78</v>
      </c>
      <c r="G839" s="6" t="s">
        <v>681</v>
      </c>
      <c r="H839" s="2" t="s">
        <v>681</v>
      </c>
      <c r="I839" s="1">
        <v>90</v>
      </c>
      <c r="J839" s="1">
        <v>5</v>
      </c>
      <c r="L839" s="45">
        <f t="shared" si="71"/>
        <v>45929</v>
      </c>
      <c r="M839" s="46">
        <f t="shared" si="67"/>
        <v>45929</v>
      </c>
      <c r="Q839" s="43">
        <f t="shared" si="68"/>
        <v>0</v>
      </c>
      <c r="R839" s="43">
        <f t="shared" ca="1" si="69"/>
        <v>0</v>
      </c>
      <c r="S839" s="22"/>
      <c r="T839" s="25">
        <v>45839</v>
      </c>
    </row>
    <row r="840" spans="1:20" x14ac:dyDescent="0.3">
      <c r="A840" s="13">
        <v>837</v>
      </c>
      <c r="B840" s="1" t="s">
        <v>84</v>
      </c>
      <c r="C840" s="39">
        <f t="shared" ca="1" si="70"/>
        <v>0</v>
      </c>
      <c r="D840" t="s">
        <v>299</v>
      </c>
      <c r="E840" t="s">
        <v>522</v>
      </c>
      <c r="F840" s="7" t="s">
        <v>78</v>
      </c>
      <c r="G840" s="6" t="s">
        <v>681</v>
      </c>
      <c r="H840" s="2" t="s">
        <v>681</v>
      </c>
      <c r="I840" s="1">
        <v>90</v>
      </c>
      <c r="J840" s="1">
        <v>5</v>
      </c>
      <c r="L840" s="45">
        <f t="shared" si="71"/>
        <v>45930</v>
      </c>
      <c r="M840" s="46">
        <f t="shared" si="67"/>
        <v>45930</v>
      </c>
      <c r="Q840" s="43">
        <f t="shared" si="68"/>
        <v>0</v>
      </c>
      <c r="R840" s="43">
        <f t="shared" ca="1" si="69"/>
        <v>0</v>
      </c>
      <c r="S840" s="22"/>
      <c r="T840" s="25">
        <v>45840</v>
      </c>
    </row>
    <row r="841" spans="1:20" x14ac:dyDescent="0.3">
      <c r="A841" s="13">
        <v>838</v>
      </c>
      <c r="B841" s="1" t="s">
        <v>84</v>
      </c>
      <c r="C841" s="39">
        <f t="shared" ca="1" si="70"/>
        <v>0</v>
      </c>
      <c r="D841" t="s">
        <v>299</v>
      </c>
      <c r="E841" t="s">
        <v>523</v>
      </c>
      <c r="F841" s="7" t="s">
        <v>78</v>
      </c>
      <c r="G841" s="6" t="s">
        <v>681</v>
      </c>
      <c r="H841" s="2" t="s">
        <v>681</v>
      </c>
      <c r="I841" s="1">
        <v>90</v>
      </c>
      <c r="J841" s="1">
        <v>5</v>
      </c>
      <c r="L841" s="45">
        <f t="shared" si="71"/>
        <v>45931</v>
      </c>
      <c r="M841" s="46">
        <f t="shared" si="67"/>
        <v>45931</v>
      </c>
      <c r="Q841" s="43">
        <f t="shared" si="68"/>
        <v>0</v>
      </c>
      <c r="R841" s="43">
        <f t="shared" ca="1" si="69"/>
        <v>0</v>
      </c>
      <c r="S841" s="22"/>
      <c r="T841" s="25">
        <v>45841</v>
      </c>
    </row>
    <row r="842" spans="1:20" x14ac:dyDescent="0.3">
      <c r="A842" s="13">
        <v>839</v>
      </c>
      <c r="B842" s="1" t="s">
        <v>84</v>
      </c>
      <c r="C842" s="39">
        <f t="shared" ca="1" si="70"/>
        <v>0</v>
      </c>
      <c r="D842" t="s">
        <v>299</v>
      </c>
      <c r="E842" t="s">
        <v>524</v>
      </c>
      <c r="F842" s="7" t="s">
        <v>78</v>
      </c>
      <c r="G842" s="6" t="s">
        <v>681</v>
      </c>
      <c r="H842" s="2" t="s">
        <v>681</v>
      </c>
      <c r="I842" s="1">
        <v>90</v>
      </c>
      <c r="J842" s="1">
        <v>5</v>
      </c>
      <c r="L842" s="45">
        <f t="shared" si="71"/>
        <v>45932</v>
      </c>
      <c r="M842" s="46">
        <f t="shared" si="67"/>
        <v>45932</v>
      </c>
      <c r="Q842" s="43">
        <f t="shared" si="68"/>
        <v>0</v>
      </c>
      <c r="R842" s="43">
        <f t="shared" ca="1" si="69"/>
        <v>0</v>
      </c>
      <c r="S842" s="22"/>
      <c r="T842" s="25">
        <v>45842</v>
      </c>
    </row>
    <row r="843" spans="1:20" x14ac:dyDescent="0.3">
      <c r="A843" s="13">
        <v>840</v>
      </c>
      <c r="B843" s="1" t="s">
        <v>84</v>
      </c>
      <c r="C843" s="39">
        <f t="shared" ca="1" si="70"/>
        <v>0</v>
      </c>
      <c r="D843" t="s">
        <v>299</v>
      </c>
      <c r="E843" t="s">
        <v>525</v>
      </c>
      <c r="F843" s="7" t="s">
        <v>78</v>
      </c>
      <c r="G843" s="6" t="s">
        <v>681</v>
      </c>
      <c r="H843" s="2" t="s">
        <v>681</v>
      </c>
      <c r="I843" s="1">
        <v>90</v>
      </c>
      <c r="J843" s="1">
        <v>5</v>
      </c>
      <c r="L843" s="45">
        <f t="shared" si="71"/>
        <v>45933</v>
      </c>
      <c r="M843" s="46">
        <f t="shared" si="67"/>
        <v>45933</v>
      </c>
      <c r="Q843" s="43">
        <f t="shared" si="68"/>
        <v>0</v>
      </c>
      <c r="R843" s="43">
        <f t="shared" ca="1" si="69"/>
        <v>0</v>
      </c>
      <c r="S843" s="22"/>
      <c r="T843" s="25">
        <v>45843</v>
      </c>
    </row>
    <row r="844" spans="1:20" x14ac:dyDescent="0.3">
      <c r="A844" s="13">
        <v>841</v>
      </c>
      <c r="B844" s="1" t="s">
        <v>84</v>
      </c>
      <c r="C844" s="39">
        <f t="shared" ca="1" si="70"/>
        <v>0</v>
      </c>
      <c r="D844" t="s">
        <v>299</v>
      </c>
      <c r="E844" t="s">
        <v>526</v>
      </c>
      <c r="F844" s="7" t="s">
        <v>78</v>
      </c>
      <c r="G844" s="6" t="s">
        <v>681</v>
      </c>
      <c r="H844" s="2" t="s">
        <v>681</v>
      </c>
      <c r="I844" s="1">
        <v>90</v>
      </c>
      <c r="J844" s="1">
        <v>5</v>
      </c>
      <c r="L844" s="45">
        <f t="shared" si="71"/>
        <v>45934</v>
      </c>
      <c r="M844" s="46">
        <f t="shared" si="67"/>
        <v>45934</v>
      </c>
      <c r="Q844" s="43">
        <f t="shared" si="68"/>
        <v>0</v>
      </c>
      <c r="R844" s="43">
        <f t="shared" ca="1" si="69"/>
        <v>0</v>
      </c>
      <c r="S844" s="22"/>
      <c r="T844" s="25">
        <v>45844</v>
      </c>
    </row>
    <row r="845" spans="1:20" x14ac:dyDescent="0.3">
      <c r="A845" s="13">
        <v>842</v>
      </c>
      <c r="B845" s="1" t="s">
        <v>84</v>
      </c>
      <c r="C845" s="39">
        <f t="shared" ca="1" si="70"/>
        <v>0</v>
      </c>
      <c r="D845" t="s">
        <v>299</v>
      </c>
      <c r="E845" t="s">
        <v>527</v>
      </c>
      <c r="F845" s="7" t="s">
        <v>78</v>
      </c>
      <c r="G845" s="6" t="s">
        <v>681</v>
      </c>
      <c r="H845" s="2" t="s">
        <v>681</v>
      </c>
      <c r="I845" s="1">
        <v>90</v>
      </c>
      <c r="J845" s="1">
        <v>5</v>
      </c>
      <c r="L845" s="45">
        <f t="shared" si="71"/>
        <v>45935</v>
      </c>
      <c r="M845" s="46">
        <f t="shared" si="67"/>
        <v>45935</v>
      </c>
      <c r="Q845" s="43">
        <f t="shared" si="68"/>
        <v>0</v>
      </c>
      <c r="R845" s="43">
        <f t="shared" ca="1" si="69"/>
        <v>0</v>
      </c>
      <c r="S845" s="22"/>
      <c r="T845" s="25">
        <v>45845</v>
      </c>
    </row>
    <row r="846" spans="1:20" x14ac:dyDescent="0.3">
      <c r="A846" s="13">
        <v>843</v>
      </c>
      <c r="B846" s="1" t="s">
        <v>84</v>
      </c>
      <c r="C846" s="39">
        <f t="shared" ca="1" si="70"/>
        <v>0</v>
      </c>
      <c r="D846" t="s">
        <v>299</v>
      </c>
      <c r="E846" t="s">
        <v>527</v>
      </c>
      <c r="F846" s="7" t="s">
        <v>78</v>
      </c>
      <c r="G846" s="6" t="s">
        <v>681</v>
      </c>
      <c r="H846" s="2" t="s">
        <v>681</v>
      </c>
      <c r="I846" s="1">
        <v>90</v>
      </c>
      <c r="J846" s="1">
        <v>5</v>
      </c>
      <c r="L846" s="45">
        <f t="shared" si="71"/>
        <v>45936</v>
      </c>
      <c r="M846" s="46">
        <f t="shared" si="67"/>
        <v>45936</v>
      </c>
      <c r="Q846" s="43">
        <f t="shared" si="68"/>
        <v>0</v>
      </c>
      <c r="R846" s="43">
        <f t="shared" ca="1" si="69"/>
        <v>0</v>
      </c>
      <c r="S846" s="22"/>
      <c r="T846" s="25">
        <v>45846</v>
      </c>
    </row>
    <row r="847" spans="1:20" x14ac:dyDescent="0.3">
      <c r="A847" s="13">
        <v>844</v>
      </c>
      <c r="B847" s="1" t="s">
        <v>84</v>
      </c>
      <c r="C847" s="39">
        <f t="shared" ca="1" si="70"/>
        <v>0</v>
      </c>
      <c r="D847" t="s">
        <v>300</v>
      </c>
      <c r="E847" t="s">
        <v>528</v>
      </c>
      <c r="F847" s="7" t="s">
        <v>78</v>
      </c>
      <c r="G847" s="6" t="s">
        <v>681</v>
      </c>
      <c r="H847" s="2" t="s">
        <v>681</v>
      </c>
      <c r="I847" s="1">
        <v>90</v>
      </c>
      <c r="J847" s="1">
        <v>5</v>
      </c>
      <c r="L847" s="45">
        <f t="shared" si="71"/>
        <v>45937</v>
      </c>
      <c r="M847" s="46">
        <f t="shared" si="67"/>
        <v>45937</v>
      </c>
      <c r="Q847" s="43">
        <f t="shared" si="68"/>
        <v>0</v>
      </c>
      <c r="R847" s="43">
        <f t="shared" ca="1" si="69"/>
        <v>0</v>
      </c>
      <c r="S847" s="22"/>
      <c r="T847" s="25">
        <v>45847</v>
      </c>
    </row>
    <row r="848" spans="1:20" x14ac:dyDescent="0.3">
      <c r="A848" s="13">
        <v>845</v>
      </c>
      <c r="B848" s="1" t="s">
        <v>84</v>
      </c>
      <c r="C848" s="39">
        <f t="shared" ca="1" si="70"/>
        <v>0</v>
      </c>
      <c r="D848" t="s">
        <v>300</v>
      </c>
      <c r="E848" t="s">
        <v>521</v>
      </c>
      <c r="F848" s="7" t="s">
        <v>78</v>
      </c>
      <c r="G848" s="6" t="s">
        <v>681</v>
      </c>
      <c r="H848" s="2" t="s">
        <v>681</v>
      </c>
      <c r="I848" s="1">
        <v>90</v>
      </c>
      <c r="J848" s="1">
        <v>5</v>
      </c>
      <c r="L848" s="45">
        <f t="shared" si="71"/>
        <v>45938</v>
      </c>
      <c r="M848" s="46">
        <f t="shared" si="67"/>
        <v>45938</v>
      </c>
      <c r="Q848" s="43">
        <f t="shared" si="68"/>
        <v>0</v>
      </c>
      <c r="R848" s="43">
        <f t="shared" ca="1" si="69"/>
        <v>0</v>
      </c>
      <c r="S848" s="22"/>
      <c r="T848" s="25">
        <v>45848</v>
      </c>
    </row>
    <row r="849" spans="1:20" x14ac:dyDescent="0.3">
      <c r="A849" s="13">
        <v>846</v>
      </c>
      <c r="B849" s="1" t="s">
        <v>84</v>
      </c>
      <c r="C849" s="39">
        <f t="shared" ca="1" si="70"/>
        <v>0</v>
      </c>
      <c r="D849" t="s">
        <v>300</v>
      </c>
      <c r="E849" t="s">
        <v>529</v>
      </c>
      <c r="F849" s="7" t="s">
        <v>78</v>
      </c>
      <c r="G849" s="6" t="s">
        <v>681</v>
      </c>
      <c r="H849" s="2" t="s">
        <v>681</v>
      </c>
      <c r="I849" s="1">
        <v>90</v>
      </c>
      <c r="J849" s="1">
        <v>5</v>
      </c>
      <c r="L849" s="45">
        <f t="shared" si="71"/>
        <v>45939</v>
      </c>
      <c r="M849" s="46">
        <f t="shared" si="67"/>
        <v>45939</v>
      </c>
      <c r="Q849" s="43">
        <f t="shared" si="68"/>
        <v>0</v>
      </c>
      <c r="R849" s="43">
        <f t="shared" ca="1" si="69"/>
        <v>0</v>
      </c>
      <c r="S849" s="22"/>
      <c r="T849" s="25">
        <v>45849</v>
      </c>
    </row>
    <row r="850" spans="1:20" x14ac:dyDescent="0.3">
      <c r="A850" s="13">
        <v>847</v>
      </c>
      <c r="B850" s="1" t="s">
        <v>84</v>
      </c>
      <c r="C850" s="39">
        <f t="shared" ca="1" si="70"/>
        <v>0</v>
      </c>
      <c r="D850" t="s">
        <v>300</v>
      </c>
      <c r="E850" t="s">
        <v>522</v>
      </c>
      <c r="F850" s="7" t="s">
        <v>78</v>
      </c>
      <c r="G850" s="6" t="s">
        <v>681</v>
      </c>
      <c r="H850" s="2" t="s">
        <v>681</v>
      </c>
      <c r="I850" s="1">
        <v>90</v>
      </c>
      <c r="J850" s="1">
        <v>5</v>
      </c>
      <c r="L850" s="45">
        <f t="shared" si="71"/>
        <v>45940</v>
      </c>
      <c r="M850" s="46">
        <f t="shared" si="67"/>
        <v>45940</v>
      </c>
      <c r="Q850" s="43">
        <f t="shared" si="68"/>
        <v>0</v>
      </c>
      <c r="R850" s="43">
        <f t="shared" ca="1" si="69"/>
        <v>0</v>
      </c>
      <c r="S850" s="22"/>
      <c r="T850" s="25">
        <v>45850</v>
      </c>
    </row>
    <row r="851" spans="1:20" x14ac:dyDescent="0.3">
      <c r="A851" s="13">
        <v>848</v>
      </c>
      <c r="B851" s="1" t="s">
        <v>84</v>
      </c>
      <c r="C851" s="39">
        <f t="shared" ca="1" si="70"/>
        <v>0</v>
      </c>
      <c r="D851" t="s">
        <v>300</v>
      </c>
      <c r="E851" t="s">
        <v>523</v>
      </c>
      <c r="F851" s="7" t="s">
        <v>78</v>
      </c>
      <c r="G851" s="6" t="s">
        <v>681</v>
      </c>
      <c r="H851" s="2" t="s">
        <v>681</v>
      </c>
      <c r="I851" s="1">
        <v>90</v>
      </c>
      <c r="J851" s="1">
        <v>5</v>
      </c>
      <c r="L851" s="45">
        <f t="shared" si="71"/>
        <v>45941</v>
      </c>
      <c r="M851" s="46">
        <f t="shared" si="67"/>
        <v>45941</v>
      </c>
      <c r="Q851" s="43">
        <f t="shared" si="68"/>
        <v>0</v>
      </c>
      <c r="R851" s="43">
        <f t="shared" ca="1" si="69"/>
        <v>0</v>
      </c>
      <c r="S851" s="22"/>
      <c r="T851" s="25">
        <v>45851</v>
      </c>
    </row>
    <row r="852" spans="1:20" x14ac:dyDescent="0.3">
      <c r="A852" s="13">
        <v>849</v>
      </c>
      <c r="B852" s="1" t="s">
        <v>84</v>
      </c>
      <c r="C852" s="39">
        <f t="shared" ca="1" si="70"/>
        <v>0</v>
      </c>
      <c r="D852" t="s">
        <v>300</v>
      </c>
      <c r="E852" t="s">
        <v>524</v>
      </c>
      <c r="F852" s="7" t="s">
        <v>78</v>
      </c>
      <c r="G852" s="6" t="s">
        <v>681</v>
      </c>
      <c r="H852" s="2" t="s">
        <v>681</v>
      </c>
      <c r="I852" s="1">
        <v>90</v>
      </c>
      <c r="J852" s="1">
        <v>5</v>
      </c>
      <c r="L852" s="45">
        <f t="shared" si="71"/>
        <v>45942</v>
      </c>
      <c r="M852" s="46">
        <f t="shared" si="67"/>
        <v>45942</v>
      </c>
      <c r="Q852" s="43">
        <f t="shared" si="68"/>
        <v>0</v>
      </c>
      <c r="R852" s="43">
        <f t="shared" ca="1" si="69"/>
        <v>0</v>
      </c>
      <c r="S852" s="22"/>
      <c r="T852" s="25">
        <v>45852</v>
      </c>
    </row>
    <row r="853" spans="1:20" x14ac:dyDescent="0.3">
      <c r="A853" s="13">
        <v>850</v>
      </c>
      <c r="B853" s="1" t="s">
        <v>84</v>
      </c>
      <c r="C853" s="39">
        <f t="shared" ca="1" si="70"/>
        <v>0</v>
      </c>
      <c r="D853" t="s">
        <v>300</v>
      </c>
      <c r="E853" t="s">
        <v>525</v>
      </c>
      <c r="F853" s="7" t="s">
        <v>78</v>
      </c>
      <c r="G853" s="6" t="s">
        <v>681</v>
      </c>
      <c r="H853" s="2" t="s">
        <v>681</v>
      </c>
      <c r="I853" s="1">
        <v>90</v>
      </c>
      <c r="J853" s="1">
        <v>5</v>
      </c>
      <c r="L853" s="45">
        <f t="shared" si="71"/>
        <v>45943</v>
      </c>
      <c r="M853" s="46">
        <f t="shared" si="67"/>
        <v>45943</v>
      </c>
      <c r="Q853" s="43">
        <f t="shared" si="68"/>
        <v>0</v>
      </c>
      <c r="R853" s="43">
        <f t="shared" ca="1" si="69"/>
        <v>0</v>
      </c>
      <c r="S853" s="22"/>
      <c r="T853" s="25">
        <v>45853</v>
      </c>
    </row>
    <row r="854" spans="1:20" x14ac:dyDescent="0.3">
      <c r="A854" s="13">
        <v>851</v>
      </c>
      <c r="B854" s="1" t="s">
        <v>84</v>
      </c>
      <c r="C854" s="39">
        <f t="shared" ca="1" si="70"/>
        <v>0</v>
      </c>
      <c r="D854" t="s">
        <v>300</v>
      </c>
      <c r="E854" t="s">
        <v>527</v>
      </c>
      <c r="F854" s="7" t="s">
        <v>78</v>
      </c>
      <c r="G854" s="6" t="s">
        <v>681</v>
      </c>
      <c r="H854" s="2" t="s">
        <v>681</v>
      </c>
      <c r="I854" s="1">
        <v>90</v>
      </c>
      <c r="J854" s="1">
        <v>5</v>
      </c>
      <c r="L854" s="45">
        <f t="shared" si="71"/>
        <v>45944</v>
      </c>
      <c r="M854" s="46">
        <f t="shared" si="67"/>
        <v>45944</v>
      </c>
      <c r="Q854" s="43">
        <f t="shared" si="68"/>
        <v>0</v>
      </c>
      <c r="R854" s="43">
        <f t="shared" ca="1" si="69"/>
        <v>0</v>
      </c>
      <c r="S854" s="22"/>
      <c r="T854" s="25">
        <v>45854</v>
      </c>
    </row>
    <row r="855" spans="1:20" x14ac:dyDescent="0.3">
      <c r="A855" s="13">
        <v>852</v>
      </c>
      <c r="B855" s="1" t="s">
        <v>84</v>
      </c>
      <c r="C855" s="39">
        <f t="shared" ca="1" si="70"/>
        <v>0</v>
      </c>
      <c r="D855" t="s">
        <v>300</v>
      </c>
      <c r="E855" t="s">
        <v>527</v>
      </c>
      <c r="F855" s="7" t="s">
        <v>78</v>
      </c>
      <c r="G855" s="6" t="s">
        <v>681</v>
      </c>
      <c r="H855" s="2" t="s">
        <v>681</v>
      </c>
      <c r="I855" s="1">
        <v>90</v>
      </c>
      <c r="J855" s="1">
        <v>5</v>
      </c>
      <c r="L855" s="45">
        <f t="shared" si="71"/>
        <v>45945</v>
      </c>
      <c r="M855" s="46">
        <f t="shared" si="67"/>
        <v>45945</v>
      </c>
      <c r="Q855" s="43">
        <f t="shared" si="68"/>
        <v>0</v>
      </c>
      <c r="R855" s="43">
        <f t="shared" ca="1" si="69"/>
        <v>0</v>
      </c>
      <c r="S855" s="22"/>
      <c r="T855" s="25">
        <v>45855</v>
      </c>
    </row>
    <row r="856" spans="1:20" x14ac:dyDescent="0.3">
      <c r="A856" s="13">
        <v>853</v>
      </c>
      <c r="B856" s="1" t="s">
        <v>84</v>
      </c>
      <c r="C856" s="39">
        <f t="shared" ca="1" si="70"/>
        <v>0</v>
      </c>
      <c r="D856" t="s">
        <v>301</v>
      </c>
      <c r="E856" t="s">
        <v>530</v>
      </c>
      <c r="F856" s="7" t="s">
        <v>78</v>
      </c>
      <c r="G856" s="6" t="s">
        <v>681</v>
      </c>
      <c r="H856" s="2" t="s">
        <v>681</v>
      </c>
      <c r="I856" s="1">
        <v>180</v>
      </c>
      <c r="J856" s="1">
        <v>5</v>
      </c>
      <c r="L856" s="45">
        <f t="shared" si="71"/>
        <v>46036</v>
      </c>
      <c r="M856" s="46">
        <f t="shared" si="67"/>
        <v>46036</v>
      </c>
      <c r="Q856" s="43">
        <f t="shared" si="68"/>
        <v>0</v>
      </c>
      <c r="R856" s="43">
        <f t="shared" ca="1" si="69"/>
        <v>0</v>
      </c>
      <c r="S856" s="22"/>
      <c r="T856" s="25">
        <v>45856</v>
      </c>
    </row>
    <row r="857" spans="1:20" x14ac:dyDescent="0.3">
      <c r="A857" s="13">
        <v>854</v>
      </c>
      <c r="B857" s="1" t="s">
        <v>84</v>
      </c>
      <c r="C857" s="39">
        <f t="shared" ca="1" si="70"/>
        <v>0</v>
      </c>
      <c r="D857" t="s">
        <v>301</v>
      </c>
      <c r="E857" t="s">
        <v>531</v>
      </c>
      <c r="F857" s="7" t="s">
        <v>78</v>
      </c>
      <c r="G857" s="6" t="s">
        <v>681</v>
      </c>
      <c r="H857" s="2" t="s">
        <v>681</v>
      </c>
      <c r="I857" s="1">
        <v>180</v>
      </c>
      <c r="J857" s="1">
        <v>5</v>
      </c>
      <c r="L857" s="45">
        <f t="shared" si="71"/>
        <v>46037</v>
      </c>
      <c r="M857" s="46">
        <f t="shared" si="67"/>
        <v>46037</v>
      </c>
      <c r="Q857" s="43">
        <f t="shared" si="68"/>
        <v>0</v>
      </c>
      <c r="R857" s="43">
        <f t="shared" ca="1" si="69"/>
        <v>0</v>
      </c>
      <c r="S857" s="22"/>
      <c r="T857" s="25">
        <v>45857</v>
      </c>
    </row>
    <row r="858" spans="1:20" x14ac:dyDescent="0.3">
      <c r="A858" s="13">
        <v>855</v>
      </c>
      <c r="B858" s="1" t="s">
        <v>84</v>
      </c>
      <c r="C858" s="39">
        <f t="shared" ca="1" si="70"/>
        <v>0</v>
      </c>
      <c r="D858" t="s">
        <v>301</v>
      </c>
      <c r="E858" t="s">
        <v>532</v>
      </c>
      <c r="F858" s="7" t="s">
        <v>78</v>
      </c>
      <c r="G858" s="6" t="s">
        <v>681</v>
      </c>
      <c r="H858" s="2" t="s">
        <v>681</v>
      </c>
      <c r="I858" s="1">
        <v>180</v>
      </c>
      <c r="J858" s="1">
        <v>5</v>
      </c>
      <c r="L858" s="45">
        <f t="shared" si="71"/>
        <v>46038</v>
      </c>
      <c r="M858" s="46">
        <f t="shared" si="67"/>
        <v>46038</v>
      </c>
      <c r="Q858" s="43">
        <f t="shared" si="68"/>
        <v>0</v>
      </c>
      <c r="R858" s="43">
        <f t="shared" ca="1" si="69"/>
        <v>0</v>
      </c>
      <c r="S858" s="22"/>
      <c r="T858" s="25">
        <v>45858</v>
      </c>
    </row>
    <row r="859" spans="1:20" x14ac:dyDescent="0.3">
      <c r="A859" s="13">
        <v>856</v>
      </c>
      <c r="B859" s="1" t="s">
        <v>84</v>
      </c>
      <c r="C859" s="39">
        <f t="shared" ca="1" si="70"/>
        <v>0</v>
      </c>
      <c r="D859" t="s">
        <v>301</v>
      </c>
      <c r="E859" t="s">
        <v>533</v>
      </c>
      <c r="F859" s="7" t="s">
        <v>78</v>
      </c>
      <c r="G859" s="6" t="s">
        <v>681</v>
      </c>
      <c r="H859" s="2" t="s">
        <v>681</v>
      </c>
      <c r="I859" s="1">
        <v>180</v>
      </c>
      <c r="J859" s="1">
        <v>5</v>
      </c>
      <c r="L859" s="45">
        <f t="shared" si="71"/>
        <v>46039</v>
      </c>
      <c r="M859" s="46">
        <f t="shared" si="67"/>
        <v>46039</v>
      </c>
      <c r="Q859" s="43">
        <f t="shared" si="68"/>
        <v>0</v>
      </c>
      <c r="R859" s="43">
        <f t="shared" ca="1" si="69"/>
        <v>0</v>
      </c>
      <c r="S859" s="22"/>
      <c r="T859" s="25">
        <v>45859</v>
      </c>
    </row>
    <row r="860" spans="1:20" x14ac:dyDescent="0.3">
      <c r="A860" s="13">
        <v>857</v>
      </c>
      <c r="B860" s="1" t="s">
        <v>84</v>
      </c>
      <c r="C860" s="39">
        <f t="shared" ca="1" si="70"/>
        <v>0</v>
      </c>
      <c r="D860" t="s">
        <v>302</v>
      </c>
      <c r="E860" t="s">
        <v>522</v>
      </c>
      <c r="F860" s="7" t="s">
        <v>78</v>
      </c>
      <c r="G860" s="6" t="s">
        <v>681</v>
      </c>
      <c r="H860" s="2" t="s">
        <v>681</v>
      </c>
      <c r="I860" s="1">
        <v>180</v>
      </c>
      <c r="J860" s="1">
        <v>5</v>
      </c>
      <c r="L860" s="45">
        <f t="shared" si="71"/>
        <v>46040</v>
      </c>
      <c r="M860" s="46">
        <f t="shared" si="67"/>
        <v>46040</v>
      </c>
      <c r="Q860" s="43">
        <f t="shared" si="68"/>
        <v>0</v>
      </c>
      <c r="R860" s="43">
        <f t="shared" ca="1" si="69"/>
        <v>0</v>
      </c>
      <c r="S860" s="22"/>
      <c r="T860" s="25">
        <v>45860</v>
      </c>
    </row>
    <row r="861" spans="1:20" x14ac:dyDescent="0.3">
      <c r="A861" s="13">
        <v>858</v>
      </c>
      <c r="B861" s="1" t="s">
        <v>84</v>
      </c>
      <c r="C861" s="39">
        <f t="shared" ca="1" si="70"/>
        <v>0</v>
      </c>
      <c r="D861" t="s">
        <v>302</v>
      </c>
      <c r="E861" t="s">
        <v>523</v>
      </c>
      <c r="F861" s="7" t="s">
        <v>78</v>
      </c>
      <c r="G861" s="6" t="s">
        <v>681</v>
      </c>
      <c r="H861" s="2" t="s">
        <v>681</v>
      </c>
      <c r="I861" s="1">
        <v>180</v>
      </c>
      <c r="J861" s="1">
        <v>5</v>
      </c>
      <c r="L861" s="45">
        <f t="shared" si="71"/>
        <v>46041</v>
      </c>
      <c r="M861" s="46">
        <f t="shared" si="67"/>
        <v>46041</v>
      </c>
      <c r="Q861" s="43">
        <f t="shared" si="68"/>
        <v>0</v>
      </c>
      <c r="R861" s="43">
        <f t="shared" ca="1" si="69"/>
        <v>0</v>
      </c>
      <c r="S861" s="22"/>
      <c r="T861" s="25">
        <v>45861</v>
      </c>
    </row>
    <row r="862" spans="1:20" x14ac:dyDescent="0.3">
      <c r="A862" s="13">
        <v>859</v>
      </c>
      <c r="B862" s="1" t="s">
        <v>84</v>
      </c>
      <c r="C862" s="39">
        <f t="shared" ca="1" si="70"/>
        <v>0</v>
      </c>
      <c r="D862" t="s">
        <v>302</v>
      </c>
      <c r="E862" t="s">
        <v>524</v>
      </c>
      <c r="F862" s="7" t="s">
        <v>78</v>
      </c>
      <c r="G862" s="6" t="s">
        <v>681</v>
      </c>
      <c r="H862" s="2" t="s">
        <v>681</v>
      </c>
      <c r="I862" s="1">
        <v>180</v>
      </c>
      <c r="J862" s="1">
        <v>5</v>
      </c>
      <c r="L862" s="45">
        <f t="shared" si="71"/>
        <v>46042</v>
      </c>
      <c r="M862" s="46">
        <f t="shared" si="67"/>
        <v>46042</v>
      </c>
      <c r="Q862" s="43">
        <f t="shared" si="68"/>
        <v>0</v>
      </c>
      <c r="R862" s="43">
        <f t="shared" ca="1" si="69"/>
        <v>0</v>
      </c>
      <c r="S862" s="22"/>
      <c r="T862" s="25">
        <v>45862</v>
      </c>
    </row>
    <row r="863" spans="1:20" x14ac:dyDescent="0.3">
      <c r="A863" s="13">
        <v>860</v>
      </c>
      <c r="B863" s="1" t="s">
        <v>84</v>
      </c>
      <c r="C863" s="39">
        <f t="shared" ca="1" si="70"/>
        <v>0</v>
      </c>
      <c r="D863" t="s">
        <v>302</v>
      </c>
      <c r="E863" t="s">
        <v>525</v>
      </c>
      <c r="F863" s="7" t="s">
        <v>78</v>
      </c>
      <c r="G863" s="6" t="s">
        <v>681</v>
      </c>
      <c r="H863" s="2" t="s">
        <v>681</v>
      </c>
      <c r="I863" s="1">
        <v>180</v>
      </c>
      <c r="J863" s="1">
        <v>5</v>
      </c>
      <c r="L863" s="45">
        <f t="shared" si="71"/>
        <v>46043</v>
      </c>
      <c r="M863" s="46">
        <f t="shared" si="67"/>
        <v>46043</v>
      </c>
      <c r="Q863" s="43">
        <f t="shared" si="68"/>
        <v>0</v>
      </c>
      <c r="R863" s="43">
        <f t="shared" ca="1" si="69"/>
        <v>0</v>
      </c>
      <c r="S863" s="22"/>
      <c r="T863" s="25">
        <v>45863</v>
      </c>
    </row>
    <row r="864" spans="1:20" x14ac:dyDescent="0.3">
      <c r="A864" s="13">
        <v>861</v>
      </c>
      <c r="B864" s="1" t="s">
        <v>84</v>
      </c>
      <c r="C864" s="39">
        <f t="shared" ca="1" si="70"/>
        <v>0</v>
      </c>
      <c r="D864" t="s">
        <v>302</v>
      </c>
      <c r="E864" t="s">
        <v>527</v>
      </c>
      <c r="F864" s="7" t="s">
        <v>78</v>
      </c>
      <c r="G864" s="6" t="s">
        <v>681</v>
      </c>
      <c r="H864" s="2" t="s">
        <v>681</v>
      </c>
      <c r="I864" s="1">
        <v>180</v>
      </c>
      <c r="J864" s="1">
        <v>5</v>
      </c>
      <c r="L864" s="45">
        <f t="shared" si="71"/>
        <v>46044</v>
      </c>
      <c r="M864" s="46">
        <f t="shared" si="67"/>
        <v>46044</v>
      </c>
      <c r="Q864" s="43">
        <f t="shared" si="68"/>
        <v>0</v>
      </c>
      <c r="R864" s="43">
        <f t="shared" ca="1" si="69"/>
        <v>0</v>
      </c>
      <c r="S864" s="22"/>
      <c r="T864" s="25">
        <v>45864</v>
      </c>
    </row>
    <row r="865" spans="1:20" x14ac:dyDescent="0.3">
      <c r="A865" s="13">
        <v>862</v>
      </c>
      <c r="B865" s="1" t="s">
        <v>84</v>
      </c>
      <c r="C865" s="39">
        <f t="shared" ca="1" si="70"/>
        <v>0</v>
      </c>
      <c r="D865" t="s">
        <v>297</v>
      </c>
      <c r="E865" t="s">
        <v>534</v>
      </c>
      <c r="F865" s="7" t="s">
        <v>78</v>
      </c>
      <c r="G865" s="6" t="s">
        <v>681</v>
      </c>
      <c r="H865" s="2" t="s">
        <v>681</v>
      </c>
      <c r="I865" s="1">
        <v>90</v>
      </c>
      <c r="J865" s="1">
        <v>5</v>
      </c>
      <c r="L865" s="45">
        <f t="shared" si="71"/>
        <v>45955</v>
      </c>
      <c r="M865" s="46">
        <f t="shared" ref="M865:M928" si="72">T865+I865</f>
        <v>45955</v>
      </c>
      <c r="Q865" s="43">
        <f t="shared" ref="Q865:Q928" si="73">IF(O865&lt;&gt;0,1,0)</f>
        <v>0</v>
      </c>
      <c r="R865" s="43">
        <f t="shared" ref="R865:R928" ca="1" si="74">IF(AND(L865&lt;($A$2+7), L865&gt;($A$2+6)),1,0)</f>
        <v>0</v>
      </c>
      <c r="S865" s="22"/>
      <c r="T865" s="25">
        <v>45865</v>
      </c>
    </row>
    <row r="866" spans="1:20" x14ac:dyDescent="0.3">
      <c r="A866" s="13">
        <v>863</v>
      </c>
      <c r="B866" s="1" t="s">
        <v>84</v>
      </c>
      <c r="C866" s="39">
        <f t="shared" ca="1" si="70"/>
        <v>0</v>
      </c>
      <c r="D866" t="s">
        <v>297</v>
      </c>
      <c r="E866" t="s">
        <v>535</v>
      </c>
      <c r="F866" s="7" t="s">
        <v>78</v>
      </c>
      <c r="G866" s="6" t="s">
        <v>681</v>
      </c>
      <c r="H866" s="2" t="s">
        <v>681</v>
      </c>
      <c r="I866" s="1">
        <v>90</v>
      </c>
      <c r="J866" s="1">
        <v>5</v>
      </c>
      <c r="L866" s="45">
        <f t="shared" si="71"/>
        <v>45956</v>
      </c>
      <c r="M866" s="46">
        <f t="shared" si="72"/>
        <v>45956</v>
      </c>
      <c r="Q866" s="43">
        <f t="shared" si="73"/>
        <v>0</v>
      </c>
      <c r="R866" s="43">
        <f t="shared" ca="1" si="74"/>
        <v>0</v>
      </c>
      <c r="S866" s="22"/>
      <c r="T866" s="25">
        <v>45866</v>
      </c>
    </row>
    <row r="867" spans="1:20" x14ac:dyDescent="0.3">
      <c r="A867" s="13">
        <v>864</v>
      </c>
      <c r="B867" s="1" t="s">
        <v>714</v>
      </c>
      <c r="C867" s="39">
        <f t="shared" ca="1" si="70"/>
        <v>0</v>
      </c>
      <c r="D867" t="s">
        <v>303</v>
      </c>
      <c r="E867" t="s">
        <v>536</v>
      </c>
      <c r="F867" s="7" t="s">
        <v>78</v>
      </c>
      <c r="G867" s="6" t="s">
        <v>681</v>
      </c>
      <c r="H867" s="2" t="s">
        <v>681</v>
      </c>
      <c r="I867" s="1">
        <v>30</v>
      </c>
      <c r="J867" s="1">
        <v>5</v>
      </c>
      <c r="L867" s="45">
        <f t="shared" si="71"/>
        <v>45897</v>
      </c>
      <c r="M867" s="46">
        <f t="shared" si="72"/>
        <v>45897</v>
      </c>
      <c r="Q867" s="43">
        <f t="shared" si="73"/>
        <v>0</v>
      </c>
      <c r="R867" s="43">
        <f t="shared" ca="1" si="74"/>
        <v>0</v>
      </c>
      <c r="S867" s="22"/>
      <c r="T867" s="25">
        <v>45867</v>
      </c>
    </row>
    <row r="868" spans="1:20" x14ac:dyDescent="0.3">
      <c r="A868" s="13">
        <v>865</v>
      </c>
      <c r="B868" s="1" t="s">
        <v>714</v>
      </c>
      <c r="C868" s="39">
        <f t="shared" ca="1" si="70"/>
        <v>0</v>
      </c>
      <c r="D868" t="s">
        <v>303</v>
      </c>
      <c r="E868" t="s">
        <v>537</v>
      </c>
      <c r="F868" s="7" t="s">
        <v>78</v>
      </c>
      <c r="G868" s="6" t="s">
        <v>681</v>
      </c>
      <c r="H868" s="2" t="s">
        <v>681</v>
      </c>
      <c r="I868" s="1">
        <v>30</v>
      </c>
      <c r="J868" s="1">
        <v>5</v>
      </c>
      <c r="L868" s="45">
        <f t="shared" si="71"/>
        <v>45898</v>
      </c>
      <c r="M868" s="46">
        <f t="shared" si="72"/>
        <v>45898</v>
      </c>
      <c r="Q868" s="43">
        <f t="shared" si="73"/>
        <v>0</v>
      </c>
      <c r="R868" s="43">
        <f t="shared" ca="1" si="74"/>
        <v>0</v>
      </c>
      <c r="S868" s="22"/>
      <c r="T868" s="25">
        <v>45868</v>
      </c>
    </row>
    <row r="869" spans="1:20" x14ac:dyDescent="0.3">
      <c r="A869" s="13">
        <v>866</v>
      </c>
      <c r="B869" s="1" t="s">
        <v>714</v>
      </c>
      <c r="C869" s="39">
        <f t="shared" ca="1" si="70"/>
        <v>0</v>
      </c>
      <c r="D869" t="s">
        <v>303</v>
      </c>
      <c r="E869" t="s">
        <v>538</v>
      </c>
      <c r="F869" s="7" t="s">
        <v>78</v>
      </c>
      <c r="G869" s="6" t="s">
        <v>681</v>
      </c>
      <c r="H869" s="2" t="s">
        <v>681</v>
      </c>
      <c r="I869" s="1">
        <v>30</v>
      </c>
      <c r="J869" s="1">
        <v>5</v>
      </c>
      <c r="L869" s="45">
        <f t="shared" si="71"/>
        <v>45899</v>
      </c>
      <c r="M869" s="46">
        <f t="shared" si="72"/>
        <v>45899</v>
      </c>
      <c r="Q869" s="43">
        <f t="shared" si="73"/>
        <v>0</v>
      </c>
      <c r="R869" s="43">
        <f t="shared" ca="1" si="74"/>
        <v>0</v>
      </c>
      <c r="S869" s="22"/>
      <c r="T869" s="25">
        <v>45869</v>
      </c>
    </row>
    <row r="870" spans="1:20" x14ac:dyDescent="0.3">
      <c r="A870" s="13">
        <v>867</v>
      </c>
      <c r="B870" s="1" t="s">
        <v>714</v>
      </c>
      <c r="C870" s="39">
        <f t="shared" ca="1" si="70"/>
        <v>0</v>
      </c>
      <c r="D870" t="s">
        <v>303</v>
      </c>
      <c r="E870" t="s">
        <v>539</v>
      </c>
      <c r="F870" s="7" t="s">
        <v>78</v>
      </c>
      <c r="G870" s="6" t="s">
        <v>681</v>
      </c>
      <c r="H870" s="2" t="s">
        <v>681</v>
      </c>
      <c r="I870" s="1">
        <v>30</v>
      </c>
      <c r="J870" s="1">
        <v>5</v>
      </c>
      <c r="L870" s="45">
        <f t="shared" si="71"/>
        <v>45900</v>
      </c>
      <c r="M870" s="46">
        <f t="shared" si="72"/>
        <v>45900</v>
      </c>
      <c r="Q870" s="43">
        <f t="shared" si="73"/>
        <v>0</v>
      </c>
      <c r="R870" s="43">
        <f t="shared" ca="1" si="74"/>
        <v>0</v>
      </c>
      <c r="S870" s="22"/>
      <c r="T870" s="25">
        <v>45870</v>
      </c>
    </row>
    <row r="871" spans="1:20" x14ac:dyDescent="0.3">
      <c r="A871" s="13">
        <v>868</v>
      </c>
      <c r="B871" s="1" t="s">
        <v>714</v>
      </c>
      <c r="C871" s="39">
        <f t="shared" ca="1" si="70"/>
        <v>0</v>
      </c>
      <c r="D871" t="s">
        <v>303</v>
      </c>
      <c r="E871" t="s">
        <v>540</v>
      </c>
      <c r="F871" s="7" t="s">
        <v>78</v>
      </c>
      <c r="G871" s="6" t="s">
        <v>681</v>
      </c>
      <c r="H871" s="2" t="s">
        <v>681</v>
      </c>
      <c r="I871" s="1">
        <v>30</v>
      </c>
      <c r="J871" s="1">
        <v>5</v>
      </c>
      <c r="L871" s="45">
        <f t="shared" si="71"/>
        <v>45901</v>
      </c>
      <c r="M871" s="46">
        <f t="shared" si="72"/>
        <v>45901</v>
      </c>
      <c r="Q871" s="43">
        <f t="shared" si="73"/>
        <v>0</v>
      </c>
      <c r="R871" s="43">
        <f t="shared" ca="1" si="74"/>
        <v>0</v>
      </c>
      <c r="S871" s="22"/>
      <c r="T871" s="25">
        <v>45871</v>
      </c>
    </row>
    <row r="872" spans="1:20" x14ac:dyDescent="0.3">
      <c r="A872" s="13">
        <v>869</v>
      </c>
      <c r="B872" s="1" t="s">
        <v>714</v>
      </c>
      <c r="C872" s="39">
        <f t="shared" ca="1" si="70"/>
        <v>0</v>
      </c>
      <c r="D872" t="s">
        <v>303</v>
      </c>
      <c r="E872" t="s">
        <v>541</v>
      </c>
      <c r="F872" s="7" t="s">
        <v>78</v>
      </c>
      <c r="G872" s="6" t="s">
        <v>681</v>
      </c>
      <c r="H872" s="2" t="s">
        <v>681</v>
      </c>
      <c r="I872" s="1">
        <v>30</v>
      </c>
      <c r="J872" s="1">
        <v>5</v>
      </c>
      <c r="L872" s="45">
        <f t="shared" si="71"/>
        <v>45902</v>
      </c>
      <c r="M872" s="46">
        <f t="shared" si="72"/>
        <v>45902</v>
      </c>
      <c r="Q872" s="43">
        <f t="shared" si="73"/>
        <v>0</v>
      </c>
      <c r="R872" s="43">
        <f t="shared" ca="1" si="74"/>
        <v>0</v>
      </c>
      <c r="S872" s="22"/>
      <c r="T872" s="25">
        <v>45872</v>
      </c>
    </row>
    <row r="873" spans="1:20" x14ac:dyDescent="0.3">
      <c r="A873" s="13">
        <v>870</v>
      </c>
      <c r="B873" s="1" t="s">
        <v>714</v>
      </c>
      <c r="C873" s="39">
        <f t="shared" ca="1" si="70"/>
        <v>0</v>
      </c>
      <c r="D873" t="s">
        <v>303</v>
      </c>
      <c r="E873" t="s">
        <v>542</v>
      </c>
      <c r="F873" s="7" t="s">
        <v>78</v>
      </c>
      <c r="G873" s="6" t="s">
        <v>681</v>
      </c>
      <c r="H873" s="2" t="s">
        <v>681</v>
      </c>
      <c r="I873" s="1">
        <v>30</v>
      </c>
      <c r="J873" s="1">
        <v>5</v>
      </c>
      <c r="L873" s="45">
        <f t="shared" si="71"/>
        <v>45903</v>
      </c>
      <c r="M873" s="46">
        <f t="shared" si="72"/>
        <v>45903</v>
      </c>
      <c r="Q873" s="43">
        <f t="shared" si="73"/>
        <v>0</v>
      </c>
      <c r="R873" s="43">
        <f t="shared" ca="1" si="74"/>
        <v>0</v>
      </c>
      <c r="S873" s="22"/>
      <c r="T873" s="25">
        <v>45873</v>
      </c>
    </row>
    <row r="874" spans="1:20" x14ac:dyDescent="0.3">
      <c r="A874" s="13">
        <v>871</v>
      </c>
      <c r="B874" s="1" t="s">
        <v>714</v>
      </c>
      <c r="C874" s="39">
        <f t="shared" ca="1" si="70"/>
        <v>0</v>
      </c>
      <c r="D874" t="s">
        <v>303</v>
      </c>
      <c r="E874" t="s">
        <v>543</v>
      </c>
      <c r="F874" s="7" t="s">
        <v>78</v>
      </c>
      <c r="G874" s="6" t="s">
        <v>681</v>
      </c>
      <c r="H874" s="2" t="s">
        <v>681</v>
      </c>
      <c r="I874" s="1">
        <v>30</v>
      </c>
      <c r="J874" s="1">
        <v>5</v>
      </c>
      <c r="L874" s="45">
        <f t="shared" si="71"/>
        <v>45904</v>
      </c>
      <c r="M874" s="46">
        <f t="shared" si="72"/>
        <v>45904</v>
      </c>
      <c r="Q874" s="43">
        <f t="shared" si="73"/>
        <v>0</v>
      </c>
      <c r="R874" s="43">
        <f t="shared" ca="1" si="74"/>
        <v>0</v>
      </c>
      <c r="S874" s="22"/>
      <c r="T874" s="25">
        <v>45874</v>
      </c>
    </row>
    <row r="875" spans="1:20" x14ac:dyDescent="0.3">
      <c r="A875" s="13">
        <v>872</v>
      </c>
      <c r="B875" s="1" t="s">
        <v>714</v>
      </c>
      <c r="C875" s="39">
        <f t="shared" ca="1" si="70"/>
        <v>0</v>
      </c>
      <c r="D875" t="s">
        <v>303</v>
      </c>
      <c r="E875" t="s">
        <v>544</v>
      </c>
      <c r="F875" s="7" t="s">
        <v>78</v>
      </c>
      <c r="G875" s="6" t="s">
        <v>681</v>
      </c>
      <c r="H875" s="2" t="s">
        <v>681</v>
      </c>
      <c r="I875" s="1">
        <v>30</v>
      </c>
      <c r="J875" s="1">
        <v>5</v>
      </c>
      <c r="L875" s="45">
        <f t="shared" si="71"/>
        <v>45905</v>
      </c>
      <c r="M875" s="46">
        <f t="shared" si="72"/>
        <v>45905</v>
      </c>
      <c r="Q875" s="43">
        <f t="shared" si="73"/>
        <v>0</v>
      </c>
      <c r="R875" s="43">
        <f t="shared" ca="1" si="74"/>
        <v>0</v>
      </c>
      <c r="S875" s="22"/>
      <c r="T875" s="25">
        <v>45875</v>
      </c>
    </row>
    <row r="876" spans="1:20" x14ac:dyDescent="0.3">
      <c r="A876" s="13">
        <v>873</v>
      </c>
      <c r="B876" s="1" t="s">
        <v>714</v>
      </c>
      <c r="C876" s="39">
        <f t="shared" ca="1" si="70"/>
        <v>0</v>
      </c>
      <c r="D876" t="s">
        <v>303</v>
      </c>
      <c r="E876" t="s">
        <v>142</v>
      </c>
      <c r="F876" s="7" t="s">
        <v>78</v>
      </c>
      <c r="G876" s="6" t="s">
        <v>681</v>
      </c>
      <c r="H876" s="2" t="s">
        <v>681</v>
      </c>
      <c r="I876" s="1">
        <v>60</v>
      </c>
      <c r="J876" s="1">
        <v>10</v>
      </c>
      <c r="L876" s="45">
        <f t="shared" si="71"/>
        <v>45936</v>
      </c>
      <c r="M876" s="46">
        <f t="shared" si="72"/>
        <v>45936</v>
      </c>
      <c r="Q876" s="43">
        <f t="shared" si="73"/>
        <v>0</v>
      </c>
      <c r="R876" s="43">
        <f t="shared" ca="1" si="74"/>
        <v>0</v>
      </c>
      <c r="S876" s="22"/>
      <c r="T876" s="25">
        <v>45876</v>
      </c>
    </row>
    <row r="877" spans="1:20" x14ac:dyDescent="0.3">
      <c r="A877" s="13">
        <v>874</v>
      </c>
      <c r="B877" s="1" t="s">
        <v>714</v>
      </c>
      <c r="C877" s="39">
        <f t="shared" ca="1" si="70"/>
        <v>0</v>
      </c>
      <c r="D877" t="s">
        <v>303</v>
      </c>
      <c r="E877" t="s">
        <v>545</v>
      </c>
      <c r="F877" s="7" t="s">
        <v>78</v>
      </c>
      <c r="G877" s="6" t="s">
        <v>681</v>
      </c>
      <c r="H877" s="2" t="s">
        <v>681</v>
      </c>
      <c r="I877" s="1">
        <v>60</v>
      </c>
      <c r="J877" s="1">
        <v>10</v>
      </c>
      <c r="L877" s="45">
        <f t="shared" si="71"/>
        <v>45937</v>
      </c>
      <c r="M877" s="46">
        <f t="shared" si="72"/>
        <v>45937</v>
      </c>
      <c r="Q877" s="43">
        <f t="shared" si="73"/>
        <v>0</v>
      </c>
      <c r="R877" s="43">
        <f t="shared" ca="1" si="74"/>
        <v>0</v>
      </c>
      <c r="S877" s="22"/>
      <c r="T877" s="25">
        <v>45877</v>
      </c>
    </row>
    <row r="878" spans="1:20" x14ac:dyDescent="0.3">
      <c r="A878" s="13">
        <v>875</v>
      </c>
      <c r="B878" s="1" t="s">
        <v>714</v>
      </c>
      <c r="C878" s="39">
        <f t="shared" ca="1" si="70"/>
        <v>0</v>
      </c>
      <c r="D878" t="s">
        <v>303</v>
      </c>
      <c r="E878" t="s">
        <v>546</v>
      </c>
      <c r="F878" s="7" t="s">
        <v>78</v>
      </c>
      <c r="G878" s="6" t="s">
        <v>681</v>
      </c>
      <c r="H878" s="2" t="s">
        <v>681</v>
      </c>
      <c r="I878" s="1">
        <v>60</v>
      </c>
      <c r="J878" s="1">
        <v>5</v>
      </c>
      <c r="L878" s="45">
        <f t="shared" si="71"/>
        <v>45938</v>
      </c>
      <c r="M878" s="46">
        <f t="shared" si="72"/>
        <v>45938</v>
      </c>
      <c r="Q878" s="43">
        <f t="shared" si="73"/>
        <v>0</v>
      </c>
      <c r="R878" s="43">
        <f t="shared" ca="1" si="74"/>
        <v>0</v>
      </c>
      <c r="S878" s="22"/>
      <c r="T878" s="25">
        <v>45878</v>
      </c>
    </row>
    <row r="879" spans="1:20" x14ac:dyDescent="0.3">
      <c r="A879" s="13">
        <v>876</v>
      </c>
      <c r="B879" s="1" t="s">
        <v>714</v>
      </c>
      <c r="C879" s="39">
        <f t="shared" ca="1" si="70"/>
        <v>0</v>
      </c>
      <c r="D879" t="s">
        <v>303</v>
      </c>
      <c r="E879" t="s">
        <v>547</v>
      </c>
      <c r="F879" s="7" t="s">
        <v>78</v>
      </c>
      <c r="G879" s="6" t="s">
        <v>681</v>
      </c>
      <c r="H879" s="2" t="s">
        <v>681</v>
      </c>
      <c r="I879" s="1">
        <v>60</v>
      </c>
      <c r="J879" s="1">
        <v>5</v>
      </c>
      <c r="L879" s="45">
        <f t="shared" si="71"/>
        <v>45939</v>
      </c>
      <c r="M879" s="46">
        <f t="shared" si="72"/>
        <v>45939</v>
      </c>
      <c r="Q879" s="43">
        <f t="shared" si="73"/>
        <v>0</v>
      </c>
      <c r="R879" s="43">
        <f t="shared" ca="1" si="74"/>
        <v>0</v>
      </c>
      <c r="S879" s="22"/>
      <c r="T879" s="25">
        <v>45879</v>
      </c>
    </row>
    <row r="880" spans="1:20" x14ac:dyDescent="0.3">
      <c r="A880" s="13">
        <v>877</v>
      </c>
      <c r="B880" s="1" t="s">
        <v>259</v>
      </c>
      <c r="C880" s="39">
        <f t="shared" ca="1" si="70"/>
        <v>0</v>
      </c>
      <c r="D880" t="s">
        <v>304</v>
      </c>
      <c r="E880" t="s">
        <v>548</v>
      </c>
      <c r="F880" s="7" t="s">
        <v>78</v>
      </c>
      <c r="G880" s="6" t="s">
        <v>681</v>
      </c>
      <c r="H880" s="2" t="s">
        <v>681</v>
      </c>
      <c r="I880" s="1">
        <v>60</v>
      </c>
      <c r="J880" s="1">
        <v>5</v>
      </c>
      <c r="L880" s="45">
        <f t="shared" si="71"/>
        <v>45940</v>
      </c>
      <c r="M880" s="46">
        <f t="shared" si="72"/>
        <v>45940</v>
      </c>
      <c r="Q880" s="43">
        <f t="shared" si="73"/>
        <v>0</v>
      </c>
      <c r="R880" s="43">
        <f t="shared" ca="1" si="74"/>
        <v>0</v>
      </c>
      <c r="S880" s="22"/>
      <c r="T880" s="25">
        <v>45880</v>
      </c>
    </row>
    <row r="881" spans="1:20" x14ac:dyDescent="0.3">
      <c r="A881" s="13">
        <v>878</v>
      </c>
      <c r="B881" s="1" t="s">
        <v>259</v>
      </c>
      <c r="C881" s="39">
        <f t="shared" ca="1" si="70"/>
        <v>0</v>
      </c>
      <c r="D881" t="s">
        <v>304</v>
      </c>
      <c r="E881" t="s">
        <v>537</v>
      </c>
      <c r="F881" s="7" t="s">
        <v>78</v>
      </c>
      <c r="G881" s="6" t="s">
        <v>681</v>
      </c>
      <c r="H881" s="2" t="s">
        <v>681</v>
      </c>
      <c r="I881" s="1">
        <v>60</v>
      </c>
      <c r="J881" s="1">
        <v>5</v>
      </c>
      <c r="L881" s="45">
        <f t="shared" si="71"/>
        <v>45941</v>
      </c>
      <c r="M881" s="46">
        <f t="shared" si="72"/>
        <v>45941</v>
      </c>
      <c r="Q881" s="43">
        <f t="shared" si="73"/>
        <v>0</v>
      </c>
      <c r="R881" s="43">
        <f t="shared" ca="1" si="74"/>
        <v>0</v>
      </c>
      <c r="S881" s="22"/>
      <c r="T881" s="25">
        <v>45881</v>
      </c>
    </row>
    <row r="882" spans="1:20" x14ac:dyDescent="0.3">
      <c r="A882" s="13">
        <v>879</v>
      </c>
      <c r="B882" s="1" t="s">
        <v>259</v>
      </c>
      <c r="C882" s="39">
        <f t="shared" ca="1" si="70"/>
        <v>0</v>
      </c>
      <c r="D882" t="s">
        <v>304</v>
      </c>
      <c r="E882" t="s">
        <v>538</v>
      </c>
      <c r="F882" s="7" t="s">
        <v>78</v>
      </c>
      <c r="G882" s="6" t="s">
        <v>681</v>
      </c>
      <c r="H882" s="2" t="s">
        <v>681</v>
      </c>
      <c r="I882" s="1">
        <v>60</v>
      </c>
      <c r="J882" s="1">
        <v>5</v>
      </c>
      <c r="L882" s="45">
        <f t="shared" si="71"/>
        <v>45942</v>
      </c>
      <c r="M882" s="46">
        <f t="shared" si="72"/>
        <v>45942</v>
      </c>
      <c r="Q882" s="43">
        <f t="shared" si="73"/>
        <v>0</v>
      </c>
      <c r="R882" s="43">
        <f t="shared" ca="1" si="74"/>
        <v>0</v>
      </c>
      <c r="S882" s="22"/>
      <c r="T882" s="25">
        <v>45882</v>
      </c>
    </row>
    <row r="883" spans="1:20" x14ac:dyDescent="0.3">
      <c r="A883" s="13">
        <v>880</v>
      </c>
      <c r="B883" s="1" t="s">
        <v>259</v>
      </c>
      <c r="C883" s="39">
        <f t="shared" ca="1" si="70"/>
        <v>0</v>
      </c>
      <c r="D883" t="s">
        <v>304</v>
      </c>
      <c r="E883" t="s">
        <v>539</v>
      </c>
      <c r="F883" s="7" t="s">
        <v>78</v>
      </c>
      <c r="G883" s="6" t="s">
        <v>681</v>
      </c>
      <c r="H883" s="2" t="s">
        <v>681</v>
      </c>
      <c r="I883" s="1">
        <v>60</v>
      </c>
      <c r="J883" s="1">
        <v>5</v>
      </c>
      <c r="L883" s="45">
        <f t="shared" si="71"/>
        <v>45943</v>
      </c>
      <c r="M883" s="46">
        <f t="shared" si="72"/>
        <v>45943</v>
      </c>
      <c r="Q883" s="43">
        <f t="shared" si="73"/>
        <v>0</v>
      </c>
      <c r="R883" s="43">
        <f t="shared" ca="1" si="74"/>
        <v>0</v>
      </c>
      <c r="S883" s="22"/>
      <c r="T883" s="25">
        <v>45883</v>
      </c>
    </row>
    <row r="884" spans="1:20" x14ac:dyDescent="0.3">
      <c r="A884" s="13">
        <v>881</v>
      </c>
      <c r="B884" s="1" t="s">
        <v>259</v>
      </c>
      <c r="C884" s="39">
        <f t="shared" ca="1" si="70"/>
        <v>0</v>
      </c>
      <c r="D884" t="s">
        <v>304</v>
      </c>
      <c r="E884" t="s">
        <v>540</v>
      </c>
      <c r="F884" s="7" t="s">
        <v>78</v>
      </c>
      <c r="G884" s="6" t="s">
        <v>681</v>
      </c>
      <c r="H884" s="2" t="s">
        <v>681</v>
      </c>
      <c r="I884" s="1">
        <v>60</v>
      </c>
      <c r="J884" s="1">
        <v>5</v>
      </c>
      <c r="L884" s="45">
        <f t="shared" si="71"/>
        <v>45944</v>
      </c>
      <c r="M884" s="46">
        <f t="shared" si="72"/>
        <v>45944</v>
      </c>
      <c r="Q884" s="43">
        <f t="shared" si="73"/>
        <v>0</v>
      </c>
      <c r="R884" s="43">
        <f t="shared" ca="1" si="74"/>
        <v>0</v>
      </c>
      <c r="S884" s="22"/>
      <c r="T884" s="25">
        <v>45884</v>
      </c>
    </row>
    <row r="885" spans="1:20" x14ac:dyDescent="0.3">
      <c r="A885" s="13">
        <v>882</v>
      </c>
      <c r="B885" s="1" t="s">
        <v>259</v>
      </c>
      <c r="C885" s="39">
        <f t="shared" ca="1" si="70"/>
        <v>0</v>
      </c>
      <c r="D885" t="s">
        <v>304</v>
      </c>
      <c r="E885" t="s">
        <v>541</v>
      </c>
      <c r="F885" s="7" t="s">
        <v>78</v>
      </c>
      <c r="G885" s="6" t="s">
        <v>681</v>
      </c>
      <c r="H885" s="2" t="s">
        <v>681</v>
      </c>
      <c r="I885" s="1">
        <v>60</v>
      </c>
      <c r="J885" s="1">
        <v>5</v>
      </c>
      <c r="L885" s="45">
        <f t="shared" si="71"/>
        <v>45945</v>
      </c>
      <c r="M885" s="46">
        <f t="shared" si="72"/>
        <v>45945</v>
      </c>
      <c r="Q885" s="43">
        <f t="shared" si="73"/>
        <v>0</v>
      </c>
      <c r="R885" s="43">
        <f t="shared" ca="1" si="74"/>
        <v>0</v>
      </c>
      <c r="S885" s="22"/>
      <c r="T885" s="25">
        <v>45885</v>
      </c>
    </row>
    <row r="886" spans="1:20" x14ac:dyDescent="0.3">
      <c r="A886" s="13">
        <v>883</v>
      </c>
      <c r="B886" s="1" t="s">
        <v>259</v>
      </c>
      <c r="C886" s="39">
        <f t="shared" ca="1" si="70"/>
        <v>0</v>
      </c>
      <c r="D886" t="s">
        <v>304</v>
      </c>
      <c r="E886" t="s">
        <v>542</v>
      </c>
      <c r="F886" s="7" t="s">
        <v>78</v>
      </c>
      <c r="G886" s="6" t="s">
        <v>681</v>
      </c>
      <c r="H886" s="2" t="s">
        <v>681</v>
      </c>
      <c r="I886" s="1">
        <v>60</v>
      </c>
      <c r="J886" s="1">
        <v>5</v>
      </c>
      <c r="L886" s="45">
        <f t="shared" si="71"/>
        <v>45946</v>
      </c>
      <c r="M886" s="46">
        <f t="shared" si="72"/>
        <v>45946</v>
      </c>
      <c r="Q886" s="43">
        <f t="shared" si="73"/>
        <v>0</v>
      </c>
      <c r="R886" s="43">
        <f t="shared" ca="1" si="74"/>
        <v>0</v>
      </c>
      <c r="S886" s="22"/>
      <c r="T886" s="25">
        <v>45886</v>
      </c>
    </row>
    <row r="887" spans="1:20" x14ac:dyDescent="0.3">
      <c r="A887" s="13">
        <v>884</v>
      </c>
      <c r="B887" s="1" t="s">
        <v>259</v>
      </c>
      <c r="C887" s="39">
        <f t="shared" ca="1" si="70"/>
        <v>0</v>
      </c>
      <c r="D887" t="s">
        <v>304</v>
      </c>
      <c r="E887" t="s">
        <v>543</v>
      </c>
      <c r="F887" s="7" t="s">
        <v>78</v>
      </c>
      <c r="G887" s="6" t="s">
        <v>681</v>
      </c>
      <c r="H887" s="2" t="s">
        <v>681</v>
      </c>
      <c r="I887" s="1">
        <v>60</v>
      </c>
      <c r="J887" s="1">
        <v>5</v>
      </c>
      <c r="L887" s="45">
        <f t="shared" si="71"/>
        <v>45947</v>
      </c>
      <c r="M887" s="46">
        <f t="shared" si="72"/>
        <v>45947</v>
      </c>
      <c r="Q887" s="43">
        <f t="shared" si="73"/>
        <v>0</v>
      </c>
      <c r="R887" s="43">
        <f t="shared" ca="1" si="74"/>
        <v>0</v>
      </c>
      <c r="S887" s="22"/>
      <c r="T887" s="25">
        <v>45887</v>
      </c>
    </row>
    <row r="888" spans="1:20" x14ac:dyDescent="0.3">
      <c r="A888" s="13">
        <v>885</v>
      </c>
      <c r="B888" s="1" t="s">
        <v>259</v>
      </c>
      <c r="C888" s="39">
        <f t="shared" ca="1" si="70"/>
        <v>0</v>
      </c>
      <c r="D888" t="s">
        <v>304</v>
      </c>
      <c r="E888" t="s">
        <v>544</v>
      </c>
      <c r="F888" s="7" t="s">
        <v>78</v>
      </c>
      <c r="G888" s="6" t="s">
        <v>681</v>
      </c>
      <c r="H888" s="2" t="s">
        <v>681</v>
      </c>
      <c r="I888" s="1">
        <v>60</v>
      </c>
      <c r="J888" s="1">
        <v>5</v>
      </c>
      <c r="L888" s="45">
        <f t="shared" si="71"/>
        <v>45948</v>
      </c>
      <c r="M888" s="46">
        <f t="shared" si="72"/>
        <v>45948</v>
      </c>
      <c r="Q888" s="43">
        <f t="shared" si="73"/>
        <v>0</v>
      </c>
      <c r="R888" s="43">
        <f t="shared" ca="1" si="74"/>
        <v>0</v>
      </c>
      <c r="S888" s="22"/>
      <c r="T888" s="25">
        <v>45888</v>
      </c>
    </row>
    <row r="889" spans="1:20" x14ac:dyDescent="0.3">
      <c r="A889" s="13">
        <v>886</v>
      </c>
      <c r="B889" s="1" t="s">
        <v>259</v>
      </c>
      <c r="C889" s="39">
        <f t="shared" ca="1" si="70"/>
        <v>0</v>
      </c>
      <c r="D889" t="s">
        <v>304</v>
      </c>
      <c r="E889" t="s">
        <v>142</v>
      </c>
      <c r="F889" s="7" t="s">
        <v>78</v>
      </c>
      <c r="G889" s="6" t="s">
        <v>681</v>
      </c>
      <c r="H889" s="2" t="s">
        <v>681</v>
      </c>
      <c r="I889" s="1">
        <v>60</v>
      </c>
      <c r="J889" s="1">
        <v>5</v>
      </c>
      <c r="L889" s="45">
        <f t="shared" si="71"/>
        <v>45949</v>
      </c>
      <c r="M889" s="46">
        <f t="shared" si="72"/>
        <v>45949</v>
      </c>
      <c r="Q889" s="43">
        <f t="shared" si="73"/>
        <v>0</v>
      </c>
      <c r="R889" s="43">
        <f t="shared" ca="1" si="74"/>
        <v>0</v>
      </c>
      <c r="S889" s="22"/>
      <c r="T889" s="25">
        <v>45889</v>
      </c>
    </row>
    <row r="890" spans="1:20" x14ac:dyDescent="0.3">
      <c r="A890" s="13">
        <v>887</v>
      </c>
      <c r="B890" s="1" t="s">
        <v>259</v>
      </c>
      <c r="C890" s="39">
        <f t="shared" ca="1" si="70"/>
        <v>0</v>
      </c>
      <c r="D890" t="s">
        <v>304</v>
      </c>
      <c r="E890" t="s">
        <v>545</v>
      </c>
      <c r="F890" s="7" t="s">
        <v>78</v>
      </c>
      <c r="G890" s="6" t="s">
        <v>681</v>
      </c>
      <c r="H890" s="2" t="s">
        <v>681</v>
      </c>
      <c r="I890" s="1">
        <v>60</v>
      </c>
      <c r="J890" s="1">
        <v>5</v>
      </c>
      <c r="L890" s="45">
        <f t="shared" si="71"/>
        <v>45950</v>
      </c>
      <c r="M890" s="46">
        <f t="shared" si="72"/>
        <v>45950</v>
      </c>
      <c r="Q890" s="43">
        <f t="shared" si="73"/>
        <v>0</v>
      </c>
      <c r="R890" s="43">
        <f t="shared" ca="1" si="74"/>
        <v>0</v>
      </c>
      <c r="S890" s="22"/>
      <c r="T890" s="25">
        <v>45890</v>
      </c>
    </row>
    <row r="891" spans="1:20" x14ac:dyDescent="0.3">
      <c r="A891" s="13">
        <v>888</v>
      </c>
      <c r="B891" s="1" t="s">
        <v>259</v>
      </c>
      <c r="C891" s="39">
        <f t="shared" ca="1" si="70"/>
        <v>0</v>
      </c>
      <c r="D891" t="s">
        <v>304</v>
      </c>
      <c r="E891" t="s">
        <v>546</v>
      </c>
      <c r="F891" s="7" t="s">
        <v>78</v>
      </c>
      <c r="G891" s="6" t="s">
        <v>681</v>
      </c>
      <c r="H891" s="2" t="s">
        <v>681</v>
      </c>
      <c r="I891" s="1">
        <v>60</v>
      </c>
      <c r="J891" s="1">
        <v>5</v>
      </c>
      <c r="L891" s="45">
        <f t="shared" si="71"/>
        <v>45951</v>
      </c>
      <c r="M891" s="46">
        <f t="shared" si="72"/>
        <v>45951</v>
      </c>
      <c r="Q891" s="43">
        <f t="shared" si="73"/>
        <v>0</v>
      </c>
      <c r="R891" s="43">
        <f t="shared" ca="1" si="74"/>
        <v>0</v>
      </c>
      <c r="S891" s="22"/>
      <c r="T891" s="25">
        <v>45891</v>
      </c>
    </row>
    <row r="892" spans="1:20" x14ac:dyDescent="0.3">
      <c r="A892" s="13">
        <v>889</v>
      </c>
      <c r="B892" s="1" t="s">
        <v>259</v>
      </c>
      <c r="C892" s="39">
        <f t="shared" ca="1" si="70"/>
        <v>0</v>
      </c>
      <c r="D892" t="s">
        <v>304</v>
      </c>
      <c r="E892" t="s">
        <v>547</v>
      </c>
      <c r="F892" s="7" t="s">
        <v>78</v>
      </c>
      <c r="G892" s="6" t="s">
        <v>681</v>
      </c>
      <c r="H892" s="2" t="s">
        <v>681</v>
      </c>
      <c r="I892" s="1">
        <v>60</v>
      </c>
      <c r="J892" s="1">
        <v>5</v>
      </c>
      <c r="L892" s="45">
        <f t="shared" si="71"/>
        <v>45952</v>
      </c>
      <c r="M892" s="46">
        <f t="shared" si="72"/>
        <v>45952</v>
      </c>
      <c r="Q892" s="43">
        <f t="shared" si="73"/>
        <v>0</v>
      </c>
      <c r="R892" s="43">
        <f t="shared" ca="1" si="74"/>
        <v>0</v>
      </c>
      <c r="S892" s="22"/>
      <c r="T892" s="25">
        <v>45892</v>
      </c>
    </row>
    <row r="893" spans="1:20" x14ac:dyDescent="0.3">
      <c r="A893" s="13">
        <v>890</v>
      </c>
      <c r="B893" s="1" t="s">
        <v>714</v>
      </c>
      <c r="C893" s="39">
        <f t="shared" ca="1" si="70"/>
        <v>0</v>
      </c>
      <c r="D893" t="s">
        <v>305</v>
      </c>
      <c r="E893" t="s">
        <v>549</v>
      </c>
      <c r="F893" s="7" t="s">
        <v>78</v>
      </c>
      <c r="G893" s="6" t="s">
        <v>681</v>
      </c>
      <c r="H893" s="2" t="s">
        <v>681</v>
      </c>
      <c r="I893" s="1">
        <v>60</v>
      </c>
      <c r="J893" s="1">
        <v>5</v>
      </c>
      <c r="L893" s="45">
        <f t="shared" si="71"/>
        <v>45953</v>
      </c>
      <c r="M893" s="46">
        <f t="shared" si="72"/>
        <v>45953</v>
      </c>
      <c r="Q893" s="43">
        <f t="shared" si="73"/>
        <v>0</v>
      </c>
      <c r="R893" s="43">
        <f t="shared" ca="1" si="74"/>
        <v>0</v>
      </c>
      <c r="S893" s="22"/>
      <c r="T893" s="25">
        <v>45893</v>
      </c>
    </row>
    <row r="894" spans="1:20" x14ac:dyDescent="0.3">
      <c r="A894" s="13">
        <v>891</v>
      </c>
      <c r="B894" s="1" t="s">
        <v>714</v>
      </c>
      <c r="C894" s="39">
        <f t="shared" ca="1" si="70"/>
        <v>0</v>
      </c>
      <c r="D894" t="s">
        <v>305</v>
      </c>
      <c r="E894" t="s">
        <v>537</v>
      </c>
      <c r="F894" s="7" t="s">
        <v>78</v>
      </c>
      <c r="G894" s="6" t="s">
        <v>681</v>
      </c>
      <c r="H894" s="2" t="s">
        <v>681</v>
      </c>
      <c r="I894" s="1">
        <v>60</v>
      </c>
      <c r="J894" s="1">
        <v>5</v>
      </c>
      <c r="L894" s="45">
        <f t="shared" si="71"/>
        <v>45954</v>
      </c>
      <c r="M894" s="46">
        <f t="shared" si="72"/>
        <v>45954</v>
      </c>
      <c r="Q894" s="43">
        <f t="shared" si="73"/>
        <v>0</v>
      </c>
      <c r="R894" s="43">
        <f t="shared" ca="1" si="74"/>
        <v>0</v>
      </c>
      <c r="S894" s="22"/>
      <c r="T894" s="25">
        <v>45894</v>
      </c>
    </row>
    <row r="895" spans="1:20" x14ac:dyDescent="0.3">
      <c r="A895" s="13">
        <v>892</v>
      </c>
      <c r="B895" s="1" t="s">
        <v>714</v>
      </c>
      <c r="C895" s="39">
        <f t="shared" ca="1" si="70"/>
        <v>0</v>
      </c>
      <c r="D895" t="s">
        <v>305</v>
      </c>
      <c r="E895" t="s">
        <v>538</v>
      </c>
      <c r="F895" s="7" t="s">
        <v>78</v>
      </c>
      <c r="G895" s="6" t="s">
        <v>681</v>
      </c>
      <c r="H895" s="2" t="s">
        <v>681</v>
      </c>
      <c r="I895" s="1">
        <v>60</v>
      </c>
      <c r="J895" s="1">
        <v>5</v>
      </c>
      <c r="L895" s="45">
        <f t="shared" si="71"/>
        <v>45955</v>
      </c>
      <c r="M895" s="46">
        <f t="shared" si="72"/>
        <v>45955</v>
      </c>
      <c r="Q895" s="43">
        <f t="shared" si="73"/>
        <v>0</v>
      </c>
      <c r="R895" s="43">
        <f t="shared" ca="1" si="74"/>
        <v>0</v>
      </c>
      <c r="S895" s="22"/>
      <c r="T895" s="25">
        <v>45895</v>
      </c>
    </row>
    <row r="896" spans="1:20" x14ac:dyDescent="0.3">
      <c r="A896" s="13">
        <v>893</v>
      </c>
      <c r="B896" s="1" t="s">
        <v>714</v>
      </c>
      <c r="C896" s="39">
        <f t="shared" ca="1" si="70"/>
        <v>0</v>
      </c>
      <c r="D896" t="s">
        <v>305</v>
      </c>
      <c r="E896" t="s">
        <v>539</v>
      </c>
      <c r="F896" s="7" t="s">
        <v>78</v>
      </c>
      <c r="G896" s="6" t="s">
        <v>681</v>
      </c>
      <c r="H896" s="2" t="s">
        <v>681</v>
      </c>
      <c r="I896" s="1">
        <v>60</v>
      </c>
      <c r="J896" s="1">
        <v>5</v>
      </c>
      <c r="L896" s="45">
        <f t="shared" si="71"/>
        <v>45956</v>
      </c>
      <c r="M896" s="46">
        <f t="shared" si="72"/>
        <v>45956</v>
      </c>
      <c r="Q896" s="43">
        <f t="shared" si="73"/>
        <v>0</v>
      </c>
      <c r="R896" s="43">
        <f t="shared" ca="1" si="74"/>
        <v>0</v>
      </c>
      <c r="S896" s="22"/>
      <c r="T896" s="25">
        <v>45896</v>
      </c>
    </row>
    <row r="897" spans="1:20" x14ac:dyDescent="0.3">
      <c r="A897" s="13">
        <v>894</v>
      </c>
      <c r="B897" s="1" t="s">
        <v>714</v>
      </c>
      <c r="C897" s="39">
        <f t="shared" ca="1" si="70"/>
        <v>0</v>
      </c>
      <c r="D897" t="s">
        <v>305</v>
      </c>
      <c r="E897" t="s">
        <v>540</v>
      </c>
      <c r="F897" s="7" t="s">
        <v>78</v>
      </c>
      <c r="G897" s="6" t="s">
        <v>681</v>
      </c>
      <c r="H897" s="2" t="s">
        <v>681</v>
      </c>
      <c r="I897" s="1">
        <v>60</v>
      </c>
      <c r="J897" s="1">
        <v>5</v>
      </c>
      <c r="L897" s="45">
        <f t="shared" si="71"/>
        <v>45957</v>
      </c>
      <c r="M897" s="46">
        <f t="shared" si="72"/>
        <v>45957</v>
      </c>
      <c r="Q897" s="43">
        <f t="shared" si="73"/>
        <v>0</v>
      </c>
      <c r="R897" s="43">
        <f t="shared" ca="1" si="74"/>
        <v>0</v>
      </c>
      <c r="S897" s="22"/>
      <c r="T897" s="25">
        <v>45897</v>
      </c>
    </row>
    <row r="898" spans="1:20" x14ac:dyDescent="0.3">
      <c r="A898" s="13">
        <v>895</v>
      </c>
      <c r="B898" s="1" t="s">
        <v>714</v>
      </c>
      <c r="C898" s="39">
        <f t="shared" ca="1" si="70"/>
        <v>0</v>
      </c>
      <c r="D898" t="s">
        <v>305</v>
      </c>
      <c r="E898" t="s">
        <v>541</v>
      </c>
      <c r="F898" s="7" t="s">
        <v>78</v>
      </c>
      <c r="G898" s="6" t="s">
        <v>681</v>
      </c>
      <c r="H898" s="2" t="s">
        <v>681</v>
      </c>
      <c r="I898" s="1">
        <v>60</v>
      </c>
      <c r="J898" s="1">
        <v>5</v>
      </c>
      <c r="L898" s="45">
        <f t="shared" si="71"/>
        <v>45958</v>
      </c>
      <c r="M898" s="46">
        <f t="shared" si="72"/>
        <v>45958</v>
      </c>
      <c r="Q898" s="43">
        <f t="shared" si="73"/>
        <v>0</v>
      </c>
      <c r="R898" s="43">
        <f t="shared" ca="1" si="74"/>
        <v>0</v>
      </c>
      <c r="S898" s="22"/>
      <c r="T898" s="25">
        <v>45898</v>
      </c>
    </row>
    <row r="899" spans="1:20" x14ac:dyDescent="0.3">
      <c r="A899" s="13">
        <v>896</v>
      </c>
      <c r="B899" s="1" t="s">
        <v>714</v>
      </c>
      <c r="C899" s="39">
        <f t="shared" ca="1" si="70"/>
        <v>0</v>
      </c>
      <c r="D899" t="s">
        <v>305</v>
      </c>
      <c r="E899" t="s">
        <v>542</v>
      </c>
      <c r="F899" s="7" t="s">
        <v>78</v>
      </c>
      <c r="G899" s="6" t="s">
        <v>681</v>
      </c>
      <c r="H899" s="2" t="s">
        <v>681</v>
      </c>
      <c r="I899" s="1">
        <v>60</v>
      </c>
      <c r="J899" s="1">
        <v>5</v>
      </c>
      <c r="L899" s="45">
        <f t="shared" si="71"/>
        <v>45959</v>
      </c>
      <c r="M899" s="46">
        <f t="shared" si="72"/>
        <v>45959</v>
      </c>
      <c r="Q899" s="43">
        <f t="shared" si="73"/>
        <v>0</v>
      </c>
      <c r="R899" s="43">
        <f t="shared" ca="1" si="74"/>
        <v>0</v>
      </c>
      <c r="S899" s="22"/>
      <c r="T899" s="25">
        <v>45899</v>
      </c>
    </row>
    <row r="900" spans="1:20" x14ac:dyDescent="0.3">
      <c r="A900" s="13">
        <v>897</v>
      </c>
      <c r="B900" s="1" t="s">
        <v>714</v>
      </c>
      <c r="C900" s="39">
        <f t="shared" ca="1" si="70"/>
        <v>0</v>
      </c>
      <c r="D900" t="s">
        <v>305</v>
      </c>
      <c r="E900" t="s">
        <v>543</v>
      </c>
      <c r="F900" s="7" t="s">
        <v>78</v>
      </c>
      <c r="G900" s="6" t="s">
        <v>681</v>
      </c>
      <c r="H900" s="2" t="s">
        <v>681</v>
      </c>
      <c r="I900" s="1">
        <v>60</v>
      </c>
      <c r="J900" s="1">
        <v>5</v>
      </c>
      <c r="L900" s="45">
        <f t="shared" si="71"/>
        <v>45960</v>
      </c>
      <c r="M900" s="46">
        <f t="shared" si="72"/>
        <v>45960</v>
      </c>
      <c r="Q900" s="43">
        <f t="shared" si="73"/>
        <v>0</v>
      </c>
      <c r="R900" s="43">
        <f t="shared" ca="1" si="74"/>
        <v>0</v>
      </c>
      <c r="S900" s="22"/>
      <c r="T900" s="25">
        <v>45900</v>
      </c>
    </row>
    <row r="901" spans="1:20" x14ac:dyDescent="0.3">
      <c r="A901" s="13">
        <v>898</v>
      </c>
      <c r="B901" s="1" t="s">
        <v>714</v>
      </c>
      <c r="C901" s="39">
        <f t="shared" ref="C901:C964" ca="1" si="75">IF(L901&lt;=$A$2,1,0)</f>
        <v>0</v>
      </c>
      <c r="D901" t="s">
        <v>305</v>
      </c>
      <c r="E901" t="s">
        <v>544</v>
      </c>
      <c r="F901" s="7" t="s">
        <v>78</v>
      </c>
      <c r="G901" s="6" t="s">
        <v>681</v>
      </c>
      <c r="H901" s="2" t="s">
        <v>681</v>
      </c>
      <c r="I901" s="1">
        <v>60</v>
      </c>
      <c r="J901" s="1">
        <v>5</v>
      </c>
      <c r="L901" s="45">
        <f t="shared" ref="L901:L964" si="76">IF(N901="",M901,N901)</f>
        <v>45961</v>
      </c>
      <c r="M901" s="46">
        <f t="shared" si="72"/>
        <v>45961</v>
      </c>
      <c r="Q901" s="43">
        <f t="shared" si="73"/>
        <v>0</v>
      </c>
      <c r="R901" s="43">
        <f t="shared" ca="1" si="74"/>
        <v>0</v>
      </c>
      <c r="S901" s="22"/>
      <c r="T901" s="25">
        <v>45901</v>
      </c>
    </row>
    <row r="902" spans="1:20" x14ac:dyDescent="0.3">
      <c r="A902" s="13">
        <v>899</v>
      </c>
      <c r="B902" s="1" t="s">
        <v>714</v>
      </c>
      <c r="C902" s="39">
        <f t="shared" ca="1" si="75"/>
        <v>0</v>
      </c>
      <c r="D902" t="s">
        <v>305</v>
      </c>
      <c r="E902" t="s">
        <v>142</v>
      </c>
      <c r="F902" s="7" t="s">
        <v>78</v>
      </c>
      <c r="G902" s="6" t="s">
        <v>681</v>
      </c>
      <c r="H902" s="2" t="s">
        <v>681</v>
      </c>
      <c r="I902" s="1">
        <v>60</v>
      </c>
      <c r="J902" s="1">
        <v>5</v>
      </c>
      <c r="L902" s="45">
        <f t="shared" si="76"/>
        <v>45962</v>
      </c>
      <c r="M902" s="46">
        <f t="shared" si="72"/>
        <v>45962</v>
      </c>
      <c r="Q902" s="43">
        <f t="shared" si="73"/>
        <v>0</v>
      </c>
      <c r="R902" s="43">
        <f t="shared" ca="1" si="74"/>
        <v>0</v>
      </c>
      <c r="S902" s="22"/>
      <c r="T902" s="25">
        <v>45902</v>
      </c>
    </row>
    <row r="903" spans="1:20" x14ac:dyDescent="0.3">
      <c r="A903" s="13">
        <v>900</v>
      </c>
      <c r="B903" s="1" t="s">
        <v>714</v>
      </c>
      <c r="C903" s="39">
        <f t="shared" ca="1" si="75"/>
        <v>0</v>
      </c>
      <c r="D903" t="s">
        <v>305</v>
      </c>
      <c r="E903" t="s">
        <v>545</v>
      </c>
      <c r="F903" s="7" t="s">
        <v>78</v>
      </c>
      <c r="G903" s="6" t="s">
        <v>681</v>
      </c>
      <c r="H903" s="2" t="s">
        <v>681</v>
      </c>
      <c r="I903" s="1">
        <v>60</v>
      </c>
      <c r="J903" s="1">
        <v>5</v>
      </c>
      <c r="L903" s="45">
        <f t="shared" si="76"/>
        <v>45963</v>
      </c>
      <c r="M903" s="46">
        <f t="shared" si="72"/>
        <v>45963</v>
      </c>
      <c r="Q903" s="43">
        <f t="shared" si="73"/>
        <v>0</v>
      </c>
      <c r="R903" s="43">
        <f t="shared" ca="1" si="74"/>
        <v>0</v>
      </c>
      <c r="S903" s="22"/>
      <c r="T903" s="25">
        <v>45903</v>
      </c>
    </row>
    <row r="904" spans="1:20" x14ac:dyDescent="0.3">
      <c r="A904" s="13">
        <v>901</v>
      </c>
      <c r="B904" s="1" t="s">
        <v>714</v>
      </c>
      <c r="C904" s="39">
        <f t="shared" ca="1" si="75"/>
        <v>0</v>
      </c>
      <c r="D904" t="s">
        <v>305</v>
      </c>
      <c r="E904" t="s">
        <v>546</v>
      </c>
      <c r="F904" s="7" t="s">
        <v>78</v>
      </c>
      <c r="G904" s="6" t="s">
        <v>681</v>
      </c>
      <c r="H904" s="2" t="s">
        <v>681</v>
      </c>
      <c r="I904" s="1">
        <v>60</v>
      </c>
      <c r="J904" s="1">
        <v>5</v>
      </c>
      <c r="L904" s="45">
        <f t="shared" si="76"/>
        <v>45964</v>
      </c>
      <c r="M904" s="46">
        <f t="shared" si="72"/>
        <v>45964</v>
      </c>
      <c r="Q904" s="43">
        <f t="shared" si="73"/>
        <v>0</v>
      </c>
      <c r="R904" s="43">
        <f t="shared" ca="1" si="74"/>
        <v>0</v>
      </c>
      <c r="S904" s="22"/>
      <c r="T904" s="25">
        <v>45904</v>
      </c>
    </row>
    <row r="905" spans="1:20" x14ac:dyDescent="0.3">
      <c r="A905" s="13">
        <v>902</v>
      </c>
      <c r="B905" s="1" t="s">
        <v>714</v>
      </c>
      <c r="C905" s="39">
        <f t="shared" ca="1" si="75"/>
        <v>0</v>
      </c>
      <c r="D905" t="s">
        <v>305</v>
      </c>
      <c r="E905" t="s">
        <v>547</v>
      </c>
      <c r="F905" s="7" t="s">
        <v>78</v>
      </c>
      <c r="G905" s="6" t="s">
        <v>681</v>
      </c>
      <c r="H905" s="2" t="s">
        <v>681</v>
      </c>
      <c r="I905" s="1">
        <v>60</v>
      </c>
      <c r="J905" s="1">
        <v>5</v>
      </c>
      <c r="L905" s="45">
        <f t="shared" si="76"/>
        <v>45965</v>
      </c>
      <c r="M905" s="46">
        <f t="shared" si="72"/>
        <v>45965</v>
      </c>
      <c r="Q905" s="43">
        <f t="shared" si="73"/>
        <v>0</v>
      </c>
      <c r="R905" s="43">
        <f t="shared" ca="1" si="74"/>
        <v>0</v>
      </c>
      <c r="S905" s="22"/>
      <c r="T905" s="25">
        <v>45905</v>
      </c>
    </row>
    <row r="906" spans="1:20" x14ac:dyDescent="0.3">
      <c r="A906" s="13">
        <v>903</v>
      </c>
      <c r="B906" s="1" t="s">
        <v>714</v>
      </c>
      <c r="C906" s="39">
        <f t="shared" ca="1" si="75"/>
        <v>0</v>
      </c>
      <c r="D906" t="s">
        <v>306</v>
      </c>
      <c r="E906" t="s">
        <v>550</v>
      </c>
      <c r="F906" s="7" t="s">
        <v>78</v>
      </c>
      <c r="G906" s="6" t="s">
        <v>681</v>
      </c>
      <c r="H906" s="2" t="s">
        <v>681</v>
      </c>
      <c r="I906" s="1">
        <v>60</v>
      </c>
      <c r="J906" s="1">
        <v>5</v>
      </c>
      <c r="L906" s="45">
        <f t="shared" si="76"/>
        <v>45966</v>
      </c>
      <c r="M906" s="46">
        <f t="shared" si="72"/>
        <v>45966</v>
      </c>
      <c r="Q906" s="43">
        <f t="shared" si="73"/>
        <v>0</v>
      </c>
      <c r="R906" s="43">
        <f t="shared" ca="1" si="74"/>
        <v>0</v>
      </c>
      <c r="S906" s="22"/>
      <c r="T906" s="25">
        <v>45906</v>
      </c>
    </row>
    <row r="907" spans="1:20" x14ac:dyDescent="0.3">
      <c r="A907" s="13">
        <v>904</v>
      </c>
      <c r="B907" s="1" t="s">
        <v>714</v>
      </c>
      <c r="C907" s="39">
        <f t="shared" ca="1" si="75"/>
        <v>0</v>
      </c>
      <c r="D907" t="s">
        <v>306</v>
      </c>
      <c r="E907" t="s">
        <v>551</v>
      </c>
      <c r="F907" s="7" t="s">
        <v>78</v>
      </c>
      <c r="G907" s="6" t="s">
        <v>681</v>
      </c>
      <c r="H907" s="2" t="s">
        <v>681</v>
      </c>
      <c r="I907" s="1">
        <v>60</v>
      </c>
      <c r="J907" s="1">
        <v>5</v>
      </c>
      <c r="L907" s="45">
        <f t="shared" si="76"/>
        <v>45967</v>
      </c>
      <c r="M907" s="46">
        <f t="shared" si="72"/>
        <v>45967</v>
      </c>
      <c r="Q907" s="43">
        <f t="shared" si="73"/>
        <v>0</v>
      </c>
      <c r="R907" s="43">
        <f t="shared" ca="1" si="74"/>
        <v>0</v>
      </c>
      <c r="S907" s="22"/>
      <c r="T907" s="25">
        <v>45907</v>
      </c>
    </row>
    <row r="908" spans="1:20" x14ac:dyDescent="0.3">
      <c r="A908" s="13">
        <v>905</v>
      </c>
      <c r="B908" s="1" t="s">
        <v>714</v>
      </c>
      <c r="C908" s="39">
        <f t="shared" ca="1" si="75"/>
        <v>0</v>
      </c>
      <c r="D908" t="s">
        <v>306</v>
      </c>
      <c r="E908" t="s">
        <v>552</v>
      </c>
      <c r="F908" s="7" t="s">
        <v>78</v>
      </c>
      <c r="G908" s="6" t="s">
        <v>681</v>
      </c>
      <c r="H908" s="2" t="s">
        <v>681</v>
      </c>
      <c r="I908" s="1">
        <v>60</v>
      </c>
      <c r="J908" s="1">
        <v>5</v>
      </c>
      <c r="L908" s="45">
        <f t="shared" si="76"/>
        <v>45968</v>
      </c>
      <c r="M908" s="46">
        <f t="shared" si="72"/>
        <v>45968</v>
      </c>
      <c r="Q908" s="43">
        <f t="shared" si="73"/>
        <v>0</v>
      </c>
      <c r="R908" s="43">
        <f t="shared" ca="1" si="74"/>
        <v>0</v>
      </c>
      <c r="S908" s="22"/>
      <c r="T908" s="25">
        <v>45908</v>
      </c>
    </row>
    <row r="909" spans="1:20" x14ac:dyDescent="0.3">
      <c r="A909" s="13">
        <v>906</v>
      </c>
      <c r="B909" s="1" t="s">
        <v>714</v>
      </c>
      <c r="C909" s="39">
        <f t="shared" ca="1" si="75"/>
        <v>0</v>
      </c>
      <c r="D909" t="s">
        <v>307</v>
      </c>
      <c r="E909" t="s">
        <v>553</v>
      </c>
      <c r="F909" s="7" t="s">
        <v>78</v>
      </c>
      <c r="G909" s="6" t="s">
        <v>681</v>
      </c>
      <c r="H909" s="2" t="s">
        <v>681</v>
      </c>
      <c r="I909" s="1">
        <v>60</v>
      </c>
      <c r="J909" s="1">
        <v>5</v>
      </c>
      <c r="L909" s="45">
        <f t="shared" si="76"/>
        <v>45969</v>
      </c>
      <c r="M909" s="46">
        <f t="shared" si="72"/>
        <v>45969</v>
      </c>
      <c r="Q909" s="43">
        <f t="shared" si="73"/>
        <v>0</v>
      </c>
      <c r="R909" s="43">
        <f t="shared" ca="1" si="74"/>
        <v>0</v>
      </c>
      <c r="S909" s="22"/>
      <c r="T909" s="25">
        <v>45909</v>
      </c>
    </row>
    <row r="910" spans="1:20" x14ac:dyDescent="0.3">
      <c r="A910" s="13">
        <v>907</v>
      </c>
      <c r="B910" s="1" t="s">
        <v>714</v>
      </c>
      <c r="C910" s="39">
        <f t="shared" ca="1" si="75"/>
        <v>0</v>
      </c>
      <c r="D910" t="s">
        <v>307</v>
      </c>
      <c r="E910" t="s">
        <v>554</v>
      </c>
      <c r="F910" s="7" t="s">
        <v>78</v>
      </c>
      <c r="G910" s="6" t="s">
        <v>681</v>
      </c>
      <c r="H910" s="2" t="s">
        <v>681</v>
      </c>
      <c r="I910" s="1">
        <v>60</v>
      </c>
      <c r="J910" s="1">
        <v>5</v>
      </c>
      <c r="L910" s="45">
        <f t="shared" si="76"/>
        <v>45970</v>
      </c>
      <c r="M910" s="46">
        <f t="shared" si="72"/>
        <v>45970</v>
      </c>
      <c r="Q910" s="43">
        <f t="shared" si="73"/>
        <v>0</v>
      </c>
      <c r="R910" s="43">
        <f t="shared" ca="1" si="74"/>
        <v>0</v>
      </c>
      <c r="S910" s="22"/>
      <c r="T910" s="25">
        <v>45910</v>
      </c>
    </row>
    <row r="911" spans="1:20" x14ac:dyDescent="0.3">
      <c r="A911" s="13">
        <v>908</v>
      </c>
      <c r="B911" s="1" t="s">
        <v>714</v>
      </c>
      <c r="C911" s="39">
        <f t="shared" ca="1" si="75"/>
        <v>0</v>
      </c>
      <c r="D911" t="s">
        <v>307</v>
      </c>
      <c r="E911" t="s">
        <v>555</v>
      </c>
      <c r="F911" s="7" t="s">
        <v>78</v>
      </c>
      <c r="G911" s="6" t="s">
        <v>681</v>
      </c>
      <c r="H911" s="2" t="s">
        <v>681</v>
      </c>
      <c r="I911" s="1">
        <v>60</v>
      </c>
      <c r="J911" s="1">
        <v>5</v>
      </c>
      <c r="L911" s="45">
        <f t="shared" si="76"/>
        <v>45971</v>
      </c>
      <c r="M911" s="46">
        <f t="shared" si="72"/>
        <v>45971</v>
      </c>
      <c r="Q911" s="43">
        <f t="shared" si="73"/>
        <v>0</v>
      </c>
      <c r="R911" s="43">
        <f t="shared" ca="1" si="74"/>
        <v>0</v>
      </c>
      <c r="S911" s="22"/>
      <c r="T911" s="25">
        <v>45911</v>
      </c>
    </row>
    <row r="912" spans="1:20" x14ac:dyDescent="0.3">
      <c r="A912" s="13">
        <v>909</v>
      </c>
      <c r="B912" s="1" t="s">
        <v>714</v>
      </c>
      <c r="C912" s="39">
        <f t="shared" ca="1" si="75"/>
        <v>0</v>
      </c>
      <c r="D912" t="s">
        <v>307</v>
      </c>
      <c r="E912" t="s">
        <v>556</v>
      </c>
      <c r="F912" s="7" t="s">
        <v>78</v>
      </c>
      <c r="G912" s="6" t="s">
        <v>681</v>
      </c>
      <c r="H912" s="2" t="s">
        <v>681</v>
      </c>
      <c r="I912" s="1">
        <v>60</v>
      </c>
      <c r="J912" s="1">
        <v>5</v>
      </c>
      <c r="L912" s="45">
        <f t="shared" si="76"/>
        <v>45972</v>
      </c>
      <c r="M912" s="46">
        <f t="shared" si="72"/>
        <v>45972</v>
      </c>
      <c r="Q912" s="43">
        <f t="shared" si="73"/>
        <v>0</v>
      </c>
      <c r="R912" s="43">
        <f t="shared" ca="1" si="74"/>
        <v>0</v>
      </c>
      <c r="S912" s="22"/>
      <c r="T912" s="25">
        <v>45912</v>
      </c>
    </row>
    <row r="913" spans="1:20" x14ac:dyDescent="0.3">
      <c r="A913" s="13">
        <v>910</v>
      </c>
      <c r="B913" s="1" t="s">
        <v>714</v>
      </c>
      <c r="C913" s="39">
        <f t="shared" ca="1" si="75"/>
        <v>0</v>
      </c>
      <c r="D913" t="s">
        <v>308</v>
      </c>
      <c r="E913" t="s">
        <v>557</v>
      </c>
      <c r="F913" s="7" t="s">
        <v>78</v>
      </c>
      <c r="G913" s="6" t="s">
        <v>681</v>
      </c>
      <c r="H913" s="2" t="s">
        <v>681</v>
      </c>
      <c r="I913" s="1">
        <v>60</v>
      </c>
      <c r="J913" s="1">
        <v>5</v>
      </c>
      <c r="L913" s="45">
        <f t="shared" si="76"/>
        <v>45973</v>
      </c>
      <c r="M913" s="46">
        <f t="shared" si="72"/>
        <v>45973</v>
      </c>
      <c r="Q913" s="43">
        <f t="shared" si="73"/>
        <v>0</v>
      </c>
      <c r="R913" s="43">
        <f t="shared" ca="1" si="74"/>
        <v>0</v>
      </c>
      <c r="S913" s="22"/>
      <c r="T913" s="25">
        <v>45913</v>
      </c>
    </row>
    <row r="914" spans="1:20" x14ac:dyDescent="0.3">
      <c r="A914" s="13">
        <v>911</v>
      </c>
      <c r="B914" s="1" t="s">
        <v>714</v>
      </c>
      <c r="C914" s="39">
        <f t="shared" ca="1" si="75"/>
        <v>0</v>
      </c>
      <c r="D914" t="s">
        <v>308</v>
      </c>
      <c r="E914" t="s">
        <v>558</v>
      </c>
      <c r="F914" s="7" t="s">
        <v>78</v>
      </c>
      <c r="G914" s="6" t="s">
        <v>681</v>
      </c>
      <c r="H914" s="2" t="s">
        <v>681</v>
      </c>
      <c r="I914" s="1">
        <v>60</v>
      </c>
      <c r="J914" s="1">
        <v>5</v>
      </c>
      <c r="L914" s="45">
        <f t="shared" si="76"/>
        <v>45974</v>
      </c>
      <c r="M914" s="46">
        <f t="shared" si="72"/>
        <v>45974</v>
      </c>
      <c r="Q914" s="43">
        <f t="shared" si="73"/>
        <v>0</v>
      </c>
      <c r="R914" s="43">
        <f t="shared" ca="1" si="74"/>
        <v>0</v>
      </c>
      <c r="S914" s="22"/>
      <c r="T914" s="25">
        <v>45914</v>
      </c>
    </row>
    <row r="915" spans="1:20" x14ac:dyDescent="0.3">
      <c r="A915" s="13">
        <v>912</v>
      </c>
      <c r="B915" s="1" t="s">
        <v>714</v>
      </c>
      <c r="C915" s="39">
        <f t="shared" ca="1" si="75"/>
        <v>0</v>
      </c>
      <c r="D915" t="s">
        <v>308</v>
      </c>
      <c r="E915" t="s">
        <v>403</v>
      </c>
      <c r="F915" s="7" t="s">
        <v>78</v>
      </c>
      <c r="G915" s="6" t="s">
        <v>681</v>
      </c>
      <c r="H915" s="2" t="s">
        <v>681</v>
      </c>
      <c r="I915" s="1">
        <v>60</v>
      </c>
      <c r="J915" s="1">
        <v>5</v>
      </c>
      <c r="L915" s="45">
        <f t="shared" si="76"/>
        <v>45975</v>
      </c>
      <c r="M915" s="46">
        <f t="shared" si="72"/>
        <v>45975</v>
      </c>
      <c r="Q915" s="43">
        <f t="shared" si="73"/>
        <v>0</v>
      </c>
      <c r="R915" s="43">
        <f t="shared" ca="1" si="74"/>
        <v>0</v>
      </c>
      <c r="S915" s="22"/>
      <c r="T915" s="25">
        <v>45915</v>
      </c>
    </row>
    <row r="916" spans="1:20" x14ac:dyDescent="0.3">
      <c r="A916" s="13">
        <v>913</v>
      </c>
      <c r="B916" s="1" t="s">
        <v>714</v>
      </c>
      <c r="C916" s="39">
        <f t="shared" ca="1" si="75"/>
        <v>0</v>
      </c>
      <c r="D916" t="s">
        <v>308</v>
      </c>
      <c r="E916" t="s">
        <v>559</v>
      </c>
      <c r="F916" s="7" t="s">
        <v>78</v>
      </c>
      <c r="G916" s="6" t="s">
        <v>681</v>
      </c>
      <c r="H916" s="2" t="s">
        <v>681</v>
      </c>
      <c r="I916" s="1">
        <v>60</v>
      </c>
      <c r="J916" s="1">
        <v>5</v>
      </c>
      <c r="L916" s="45">
        <f t="shared" si="76"/>
        <v>45976</v>
      </c>
      <c r="M916" s="46">
        <f t="shared" si="72"/>
        <v>45976</v>
      </c>
      <c r="Q916" s="43">
        <f t="shared" si="73"/>
        <v>0</v>
      </c>
      <c r="R916" s="43">
        <f t="shared" ca="1" si="74"/>
        <v>0</v>
      </c>
      <c r="S916" s="22"/>
      <c r="T916" s="25">
        <v>45916</v>
      </c>
    </row>
    <row r="917" spans="1:20" x14ac:dyDescent="0.3">
      <c r="A917" s="13">
        <v>914</v>
      </c>
      <c r="B917" s="1" t="s">
        <v>714</v>
      </c>
      <c r="C917" s="39">
        <f t="shared" ca="1" si="75"/>
        <v>0</v>
      </c>
      <c r="D917" t="s">
        <v>308</v>
      </c>
      <c r="E917" t="s">
        <v>560</v>
      </c>
      <c r="F917" s="7" t="s">
        <v>78</v>
      </c>
      <c r="G917" s="6" t="s">
        <v>681</v>
      </c>
      <c r="H917" s="2" t="s">
        <v>681</v>
      </c>
      <c r="I917" s="1">
        <v>60</v>
      </c>
      <c r="J917" s="1">
        <v>5</v>
      </c>
      <c r="L917" s="45">
        <f t="shared" si="76"/>
        <v>45977</v>
      </c>
      <c r="M917" s="46">
        <f t="shared" si="72"/>
        <v>45977</v>
      </c>
      <c r="Q917" s="43">
        <f t="shared" si="73"/>
        <v>0</v>
      </c>
      <c r="R917" s="43">
        <f t="shared" ca="1" si="74"/>
        <v>0</v>
      </c>
      <c r="S917" s="22"/>
      <c r="T917" s="25">
        <v>45917</v>
      </c>
    </row>
    <row r="918" spans="1:20" x14ac:dyDescent="0.3">
      <c r="A918" s="13">
        <v>915</v>
      </c>
      <c r="B918" s="1" t="s">
        <v>714</v>
      </c>
      <c r="C918" s="39">
        <f t="shared" ca="1" si="75"/>
        <v>0</v>
      </c>
      <c r="D918" t="s">
        <v>308</v>
      </c>
      <c r="E918" t="s">
        <v>561</v>
      </c>
      <c r="F918" s="7" t="s">
        <v>78</v>
      </c>
      <c r="G918" s="6" t="s">
        <v>681</v>
      </c>
      <c r="H918" s="2" t="s">
        <v>681</v>
      </c>
      <c r="I918" s="1">
        <v>60</v>
      </c>
      <c r="J918" s="1">
        <v>5</v>
      </c>
      <c r="L918" s="45">
        <f t="shared" si="76"/>
        <v>45978</v>
      </c>
      <c r="M918" s="46">
        <f t="shared" si="72"/>
        <v>45978</v>
      </c>
      <c r="Q918" s="43">
        <f t="shared" si="73"/>
        <v>0</v>
      </c>
      <c r="R918" s="43">
        <f t="shared" ca="1" si="74"/>
        <v>0</v>
      </c>
      <c r="S918" s="22"/>
      <c r="T918" s="25">
        <v>45918</v>
      </c>
    </row>
    <row r="919" spans="1:20" x14ac:dyDescent="0.3">
      <c r="A919" s="13">
        <v>916</v>
      </c>
      <c r="B919" s="1" t="s">
        <v>714</v>
      </c>
      <c r="C919" s="39">
        <f t="shared" ca="1" si="75"/>
        <v>0</v>
      </c>
      <c r="D919" t="s">
        <v>308</v>
      </c>
      <c r="E919" t="s">
        <v>550</v>
      </c>
      <c r="F919" s="7" t="s">
        <v>78</v>
      </c>
      <c r="G919" s="6" t="s">
        <v>681</v>
      </c>
      <c r="H919" s="2" t="s">
        <v>681</v>
      </c>
      <c r="I919" s="1">
        <v>60</v>
      </c>
      <c r="J919" s="1">
        <v>5</v>
      </c>
      <c r="L919" s="45">
        <f t="shared" si="76"/>
        <v>45979</v>
      </c>
      <c r="M919" s="46">
        <f t="shared" si="72"/>
        <v>45979</v>
      </c>
      <c r="Q919" s="43">
        <f t="shared" si="73"/>
        <v>0</v>
      </c>
      <c r="R919" s="43">
        <f t="shared" ca="1" si="74"/>
        <v>0</v>
      </c>
      <c r="S919" s="22"/>
      <c r="T919" s="25">
        <v>45919</v>
      </c>
    </row>
    <row r="920" spans="1:20" x14ac:dyDescent="0.3">
      <c r="A920" s="13">
        <v>917</v>
      </c>
      <c r="B920" s="1" t="s">
        <v>714</v>
      </c>
      <c r="C920" s="39">
        <f t="shared" ca="1" si="75"/>
        <v>0</v>
      </c>
      <c r="D920" t="s">
        <v>308</v>
      </c>
      <c r="E920" t="s">
        <v>562</v>
      </c>
      <c r="F920" s="7" t="s">
        <v>78</v>
      </c>
      <c r="G920" s="6" t="s">
        <v>681</v>
      </c>
      <c r="H920" s="2" t="s">
        <v>681</v>
      </c>
      <c r="I920" s="1">
        <v>60</v>
      </c>
      <c r="J920" s="1">
        <v>5</v>
      </c>
      <c r="L920" s="45">
        <f t="shared" si="76"/>
        <v>45980</v>
      </c>
      <c r="M920" s="46">
        <f t="shared" si="72"/>
        <v>45980</v>
      </c>
      <c r="Q920" s="43">
        <f t="shared" si="73"/>
        <v>0</v>
      </c>
      <c r="R920" s="43">
        <f t="shared" ca="1" si="74"/>
        <v>0</v>
      </c>
      <c r="S920" s="22"/>
      <c r="T920" s="25">
        <v>45920</v>
      </c>
    </row>
    <row r="921" spans="1:20" x14ac:dyDescent="0.3">
      <c r="A921" s="13">
        <v>918</v>
      </c>
      <c r="B921" s="1" t="s">
        <v>714</v>
      </c>
      <c r="C921" s="39">
        <f t="shared" ca="1" si="75"/>
        <v>0</v>
      </c>
      <c r="D921" t="s">
        <v>308</v>
      </c>
      <c r="E921" t="s">
        <v>563</v>
      </c>
      <c r="F921" s="7" t="s">
        <v>78</v>
      </c>
      <c r="G921" s="6" t="s">
        <v>681</v>
      </c>
      <c r="H921" s="2" t="s">
        <v>681</v>
      </c>
      <c r="I921" s="1">
        <v>60</v>
      </c>
      <c r="J921" s="1">
        <v>5</v>
      </c>
      <c r="L921" s="45">
        <f t="shared" si="76"/>
        <v>45981</v>
      </c>
      <c r="M921" s="46">
        <f t="shared" si="72"/>
        <v>45981</v>
      </c>
      <c r="Q921" s="43">
        <f t="shared" si="73"/>
        <v>0</v>
      </c>
      <c r="R921" s="43">
        <f t="shared" ca="1" si="74"/>
        <v>0</v>
      </c>
      <c r="S921" s="22"/>
      <c r="T921" s="25">
        <v>45921</v>
      </c>
    </row>
    <row r="922" spans="1:20" x14ac:dyDescent="0.3">
      <c r="A922" s="13">
        <v>919</v>
      </c>
      <c r="B922" s="1" t="s">
        <v>714</v>
      </c>
      <c r="C922" s="39">
        <f t="shared" ca="1" si="75"/>
        <v>0</v>
      </c>
      <c r="D922" t="s">
        <v>309</v>
      </c>
      <c r="E922" t="s">
        <v>564</v>
      </c>
      <c r="F922" s="7" t="s">
        <v>78</v>
      </c>
      <c r="G922" s="6" t="s">
        <v>681</v>
      </c>
      <c r="H922" s="2" t="s">
        <v>681</v>
      </c>
      <c r="I922" s="1">
        <v>90</v>
      </c>
      <c r="J922" s="1">
        <v>5</v>
      </c>
      <c r="L922" s="45">
        <f t="shared" si="76"/>
        <v>46012</v>
      </c>
      <c r="M922" s="46">
        <f t="shared" si="72"/>
        <v>46012</v>
      </c>
      <c r="Q922" s="43">
        <f t="shared" si="73"/>
        <v>0</v>
      </c>
      <c r="R922" s="43">
        <f t="shared" ca="1" si="74"/>
        <v>0</v>
      </c>
      <c r="S922" s="22"/>
      <c r="T922" s="25">
        <v>45922</v>
      </c>
    </row>
    <row r="923" spans="1:20" x14ac:dyDescent="0.3">
      <c r="A923" s="13">
        <v>920</v>
      </c>
      <c r="B923" s="1" t="s">
        <v>714</v>
      </c>
      <c r="C923" s="39">
        <f t="shared" ca="1" si="75"/>
        <v>0</v>
      </c>
      <c r="D923" t="s">
        <v>309</v>
      </c>
      <c r="E923" t="s">
        <v>565</v>
      </c>
      <c r="F923" s="7" t="s">
        <v>78</v>
      </c>
      <c r="G923" s="6" t="s">
        <v>681</v>
      </c>
      <c r="H923" s="2" t="s">
        <v>681</v>
      </c>
      <c r="I923" s="1">
        <v>90</v>
      </c>
      <c r="J923" s="1">
        <v>5</v>
      </c>
      <c r="L923" s="45">
        <f t="shared" si="76"/>
        <v>46013</v>
      </c>
      <c r="M923" s="46">
        <f t="shared" si="72"/>
        <v>46013</v>
      </c>
      <c r="Q923" s="43">
        <f t="shared" si="73"/>
        <v>0</v>
      </c>
      <c r="R923" s="43">
        <f t="shared" ca="1" si="74"/>
        <v>0</v>
      </c>
      <c r="S923" s="22"/>
      <c r="T923" s="25">
        <v>45923</v>
      </c>
    </row>
    <row r="924" spans="1:20" x14ac:dyDescent="0.3">
      <c r="A924" s="13">
        <v>921</v>
      </c>
      <c r="B924" s="1" t="s">
        <v>714</v>
      </c>
      <c r="C924" s="39">
        <f t="shared" ca="1" si="75"/>
        <v>0</v>
      </c>
      <c r="D924" t="s">
        <v>309</v>
      </c>
      <c r="E924" t="s">
        <v>566</v>
      </c>
      <c r="F924" s="7" t="s">
        <v>78</v>
      </c>
      <c r="G924" s="6" t="s">
        <v>681</v>
      </c>
      <c r="H924" s="2" t="s">
        <v>681</v>
      </c>
      <c r="I924" s="1">
        <v>14</v>
      </c>
      <c r="J924" s="1">
        <v>5</v>
      </c>
      <c r="L924" s="45">
        <f t="shared" si="76"/>
        <v>45938</v>
      </c>
      <c r="M924" s="46">
        <f t="shared" si="72"/>
        <v>45938</v>
      </c>
      <c r="Q924" s="43">
        <f t="shared" si="73"/>
        <v>0</v>
      </c>
      <c r="R924" s="43">
        <f t="shared" ca="1" si="74"/>
        <v>0</v>
      </c>
      <c r="S924" s="22"/>
      <c r="T924" s="25">
        <v>45924</v>
      </c>
    </row>
    <row r="925" spans="1:20" x14ac:dyDescent="0.3">
      <c r="A925" s="13">
        <v>922</v>
      </c>
      <c r="B925" s="1" t="s">
        <v>714</v>
      </c>
      <c r="C925" s="39">
        <f t="shared" ca="1" si="75"/>
        <v>0</v>
      </c>
      <c r="D925" t="s">
        <v>309</v>
      </c>
      <c r="E925" t="s">
        <v>567</v>
      </c>
      <c r="F925" s="7" t="s">
        <v>78</v>
      </c>
      <c r="G925" s="6" t="s">
        <v>681</v>
      </c>
      <c r="H925" s="2" t="s">
        <v>681</v>
      </c>
      <c r="I925" s="1">
        <v>90</v>
      </c>
      <c r="J925" s="1">
        <v>5</v>
      </c>
      <c r="L925" s="45">
        <f t="shared" si="76"/>
        <v>46015</v>
      </c>
      <c r="M925" s="46">
        <f t="shared" si="72"/>
        <v>46015</v>
      </c>
      <c r="Q925" s="43">
        <f t="shared" si="73"/>
        <v>0</v>
      </c>
      <c r="R925" s="43">
        <f t="shared" ca="1" si="74"/>
        <v>0</v>
      </c>
      <c r="S925" s="22"/>
      <c r="T925" s="25">
        <v>45925</v>
      </c>
    </row>
    <row r="926" spans="1:20" x14ac:dyDescent="0.3">
      <c r="A926" s="13">
        <v>923</v>
      </c>
      <c r="B926" s="1" t="s">
        <v>714</v>
      </c>
      <c r="C926" s="39">
        <f t="shared" ca="1" si="75"/>
        <v>0</v>
      </c>
      <c r="D926" t="s">
        <v>309</v>
      </c>
      <c r="E926" t="s">
        <v>568</v>
      </c>
      <c r="F926" s="7" t="s">
        <v>78</v>
      </c>
      <c r="G926" s="6" t="s">
        <v>681</v>
      </c>
      <c r="H926" s="2" t="s">
        <v>681</v>
      </c>
      <c r="I926" s="1">
        <v>90</v>
      </c>
      <c r="J926" s="1">
        <v>5</v>
      </c>
      <c r="L926" s="45">
        <f t="shared" si="76"/>
        <v>46016</v>
      </c>
      <c r="M926" s="46">
        <f t="shared" si="72"/>
        <v>46016</v>
      </c>
      <c r="Q926" s="43">
        <f t="shared" si="73"/>
        <v>0</v>
      </c>
      <c r="R926" s="43">
        <f t="shared" ca="1" si="74"/>
        <v>0</v>
      </c>
      <c r="S926" s="22"/>
      <c r="T926" s="25">
        <v>45926</v>
      </c>
    </row>
    <row r="927" spans="1:20" x14ac:dyDescent="0.3">
      <c r="A927" s="13">
        <v>924</v>
      </c>
      <c r="B927" s="1" t="s">
        <v>714</v>
      </c>
      <c r="C927" s="39">
        <f t="shared" ca="1" si="75"/>
        <v>0</v>
      </c>
      <c r="D927" t="s">
        <v>309</v>
      </c>
      <c r="E927" t="s">
        <v>569</v>
      </c>
      <c r="F927" s="7" t="s">
        <v>78</v>
      </c>
      <c r="G927" s="6" t="s">
        <v>681</v>
      </c>
      <c r="H927" s="2" t="s">
        <v>681</v>
      </c>
      <c r="I927" s="1">
        <v>90</v>
      </c>
      <c r="J927" s="1">
        <v>5</v>
      </c>
      <c r="L927" s="45">
        <f t="shared" si="76"/>
        <v>46017</v>
      </c>
      <c r="M927" s="46">
        <f t="shared" si="72"/>
        <v>46017</v>
      </c>
      <c r="Q927" s="43">
        <f t="shared" si="73"/>
        <v>0</v>
      </c>
      <c r="R927" s="43">
        <f t="shared" ca="1" si="74"/>
        <v>0</v>
      </c>
      <c r="S927" s="22"/>
      <c r="T927" s="25">
        <v>45927</v>
      </c>
    </row>
    <row r="928" spans="1:20" x14ac:dyDescent="0.3">
      <c r="A928" s="13">
        <v>925</v>
      </c>
      <c r="B928" s="1" t="s">
        <v>714</v>
      </c>
      <c r="C928" s="39">
        <f t="shared" ca="1" si="75"/>
        <v>0</v>
      </c>
      <c r="D928" t="s">
        <v>309</v>
      </c>
      <c r="E928" t="s">
        <v>570</v>
      </c>
      <c r="F928" s="7" t="s">
        <v>78</v>
      </c>
      <c r="G928" s="6" t="s">
        <v>681</v>
      </c>
      <c r="H928" s="2" t="s">
        <v>681</v>
      </c>
      <c r="I928" s="1">
        <v>180</v>
      </c>
      <c r="J928" s="1">
        <v>20</v>
      </c>
      <c r="L928" s="45">
        <f t="shared" si="76"/>
        <v>46108</v>
      </c>
      <c r="M928" s="46">
        <f t="shared" si="72"/>
        <v>46108</v>
      </c>
      <c r="Q928" s="43">
        <f t="shared" si="73"/>
        <v>0</v>
      </c>
      <c r="R928" s="43">
        <f t="shared" ca="1" si="74"/>
        <v>0</v>
      </c>
      <c r="S928" s="22"/>
      <c r="T928" s="25">
        <v>45928</v>
      </c>
    </row>
    <row r="929" spans="1:20" x14ac:dyDescent="0.3">
      <c r="A929" s="13">
        <v>926</v>
      </c>
      <c r="B929" s="1" t="s">
        <v>714</v>
      </c>
      <c r="C929" s="39">
        <f t="shared" ca="1" si="75"/>
        <v>0</v>
      </c>
      <c r="D929" t="s">
        <v>309</v>
      </c>
      <c r="E929" t="s">
        <v>399</v>
      </c>
      <c r="F929" s="7" t="s">
        <v>78</v>
      </c>
      <c r="G929" s="6" t="s">
        <v>681</v>
      </c>
      <c r="H929" s="2" t="s">
        <v>681</v>
      </c>
      <c r="I929" s="1">
        <v>30</v>
      </c>
      <c r="J929" s="1">
        <v>5</v>
      </c>
      <c r="L929" s="45">
        <f t="shared" si="76"/>
        <v>45959</v>
      </c>
      <c r="M929" s="46">
        <f t="shared" ref="M929:M992" si="77">T929+I929</f>
        <v>45959</v>
      </c>
      <c r="Q929" s="43">
        <f t="shared" ref="Q929:Q992" si="78">IF(O929&lt;&gt;0,1,0)</f>
        <v>0</v>
      </c>
      <c r="R929" s="43">
        <f t="shared" ref="R929:R992" ca="1" si="79">IF(AND(L929&lt;($A$2+7), L929&gt;($A$2+6)),1,0)</f>
        <v>0</v>
      </c>
      <c r="S929" s="22"/>
      <c r="T929" s="25">
        <v>45929</v>
      </c>
    </row>
    <row r="930" spans="1:20" x14ac:dyDescent="0.3">
      <c r="A930" s="13">
        <v>927</v>
      </c>
      <c r="B930" s="1" t="s">
        <v>714</v>
      </c>
      <c r="C930" s="39">
        <f t="shared" ca="1" si="75"/>
        <v>0</v>
      </c>
      <c r="D930" t="s">
        <v>309</v>
      </c>
      <c r="E930" t="s">
        <v>552</v>
      </c>
      <c r="F930" s="7" t="s">
        <v>78</v>
      </c>
      <c r="G930" s="6" t="s">
        <v>681</v>
      </c>
      <c r="H930" s="2" t="s">
        <v>681</v>
      </c>
      <c r="I930" s="1">
        <v>30</v>
      </c>
      <c r="J930" s="1">
        <v>5</v>
      </c>
      <c r="L930" s="45">
        <f t="shared" si="76"/>
        <v>45960</v>
      </c>
      <c r="M930" s="46">
        <f t="shared" si="77"/>
        <v>45960</v>
      </c>
      <c r="Q930" s="43">
        <f t="shared" si="78"/>
        <v>0</v>
      </c>
      <c r="R930" s="43">
        <f t="shared" ca="1" si="79"/>
        <v>0</v>
      </c>
      <c r="S930" s="22"/>
      <c r="T930" s="25">
        <v>45930</v>
      </c>
    </row>
    <row r="931" spans="1:20" x14ac:dyDescent="0.3">
      <c r="A931" s="13">
        <v>928</v>
      </c>
      <c r="B931" s="1" t="s">
        <v>714</v>
      </c>
      <c r="C931" s="39">
        <f t="shared" ca="1" si="75"/>
        <v>0</v>
      </c>
      <c r="D931" t="s">
        <v>310</v>
      </c>
      <c r="E931" t="s">
        <v>397</v>
      </c>
      <c r="F931" s="7" t="s">
        <v>78</v>
      </c>
      <c r="G931" s="6" t="s">
        <v>681</v>
      </c>
      <c r="H931" s="2" t="s">
        <v>681</v>
      </c>
      <c r="I931" s="1">
        <v>60</v>
      </c>
      <c r="J931" s="1">
        <v>5</v>
      </c>
      <c r="L931" s="45">
        <f t="shared" si="76"/>
        <v>45991</v>
      </c>
      <c r="M931" s="46">
        <f t="shared" si="77"/>
        <v>45991</v>
      </c>
      <c r="Q931" s="43">
        <f t="shared" si="78"/>
        <v>0</v>
      </c>
      <c r="R931" s="43">
        <f t="shared" ca="1" si="79"/>
        <v>0</v>
      </c>
      <c r="S931" s="22"/>
      <c r="T931" s="25">
        <v>45931</v>
      </c>
    </row>
    <row r="932" spans="1:20" x14ac:dyDescent="0.3">
      <c r="A932" s="13">
        <v>929</v>
      </c>
      <c r="B932" s="1" t="s">
        <v>714</v>
      </c>
      <c r="C932" s="39">
        <f t="shared" ca="1" si="75"/>
        <v>0</v>
      </c>
      <c r="D932" t="s">
        <v>310</v>
      </c>
      <c r="E932" t="s">
        <v>571</v>
      </c>
      <c r="F932" s="7" t="s">
        <v>78</v>
      </c>
      <c r="G932" s="6" t="s">
        <v>681</v>
      </c>
      <c r="H932" s="2" t="s">
        <v>681</v>
      </c>
      <c r="I932" s="1">
        <v>60</v>
      </c>
      <c r="J932" s="1">
        <v>5</v>
      </c>
      <c r="L932" s="45">
        <f t="shared" si="76"/>
        <v>45992</v>
      </c>
      <c r="M932" s="46">
        <f t="shared" si="77"/>
        <v>45992</v>
      </c>
      <c r="Q932" s="43">
        <f t="shared" si="78"/>
        <v>0</v>
      </c>
      <c r="R932" s="43">
        <f t="shared" ca="1" si="79"/>
        <v>0</v>
      </c>
      <c r="S932" s="22"/>
      <c r="T932" s="25">
        <v>45932</v>
      </c>
    </row>
    <row r="933" spans="1:20" x14ac:dyDescent="0.3">
      <c r="A933" s="13">
        <v>930</v>
      </c>
      <c r="B933" s="1" t="s">
        <v>714</v>
      </c>
      <c r="C933" s="39">
        <f t="shared" ca="1" si="75"/>
        <v>0</v>
      </c>
      <c r="D933" t="s">
        <v>310</v>
      </c>
      <c r="E933" t="s">
        <v>572</v>
      </c>
      <c r="F933" s="7" t="s">
        <v>78</v>
      </c>
      <c r="G933" s="6" t="s">
        <v>681</v>
      </c>
      <c r="H933" s="2" t="s">
        <v>681</v>
      </c>
      <c r="I933" s="1">
        <v>60</v>
      </c>
      <c r="J933" s="1">
        <v>5</v>
      </c>
      <c r="L933" s="45">
        <f t="shared" si="76"/>
        <v>45993</v>
      </c>
      <c r="M933" s="46">
        <f t="shared" si="77"/>
        <v>45993</v>
      </c>
      <c r="Q933" s="43">
        <f t="shared" si="78"/>
        <v>0</v>
      </c>
      <c r="R933" s="43">
        <f t="shared" ca="1" si="79"/>
        <v>0</v>
      </c>
      <c r="S933" s="22"/>
      <c r="T933" s="25">
        <v>45933</v>
      </c>
    </row>
    <row r="934" spans="1:20" x14ac:dyDescent="0.3">
      <c r="A934" s="13">
        <v>931</v>
      </c>
      <c r="B934" s="1" t="s">
        <v>714</v>
      </c>
      <c r="C934" s="39">
        <f t="shared" ca="1" si="75"/>
        <v>0</v>
      </c>
      <c r="D934" t="s">
        <v>310</v>
      </c>
      <c r="E934" t="s">
        <v>573</v>
      </c>
      <c r="F934" s="7" t="s">
        <v>78</v>
      </c>
      <c r="G934" s="6" t="s">
        <v>681</v>
      </c>
      <c r="H934" s="2" t="s">
        <v>681</v>
      </c>
      <c r="I934" s="1">
        <v>60</v>
      </c>
      <c r="J934" s="1">
        <v>5</v>
      </c>
      <c r="L934" s="45">
        <f t="shared" si="76"/>
        <v>45994</v>
      </c>
      <c r="M934" s="46">
        <f t="shared" si="77"/>
        <v>45994</v>
      </c>
      <c r="Q934" s="43">
        <f t="shared" si="78"/>
        <v>0</v>
      </c>
      <c r="R934" s="43">
        <f t="shared" ca="1" si="79"/>
        <v>0</v>
      </c>
      <c r="S934" s="22"/>
      <c r="T934" s="25">
        <v>45934</v>
      </c>
    </row>
    <row r="935" spans="1:20" x14ac:dyDescent="0.3">
      <c r="A935" s="13">
        <v>932</v>
      </c>
      <c r="B935" s="1" t="s">
        <v>714</v>
      </c>
      <c r="C935" s="39">
        <f t="shared" ca="1" si="75"/>
        <v>0</v>
      </c>
      <c r="D935" t="s">
        <v>310</v>
      </c>
      <c r="E935" t="s">
        <v>574</v>
      </c>
      <c r="F935" s="7" t="s">
        <v>78</v>
      </c>
      <c r="G935" s="6" t="s">
        <v>681</v>
      </c>
      <c r="H935" s="2" t="s">
        <v>681</v>
      </c>
      <c r="I935" s="1">
        <v>60</v>
      </c>
      <c r="J935" s="1">
        <v>5</v>
      </c>
      <c r="L935" s="45">
        <f t="shared" si="76"/>
        <v>45995</v>
      </c>
      <c r="M935" s="46">
        <f t="shared" si="77"/>
        <v>45995</v>
      </c>
      <c r="Q935" s="43">
        <f t="shared" si="78"/>
        <v>0</v>
      </c>
      <c r="R935" s="43">
        <f t="shared" ca="1" si="79"/>
        <v>0</v>
      </c>
      <c r="S935" s="22"/>
      <c r="T935" s="25">
        <v>45935</v>
      </c>
    </row>
    <row r="936" spans="1:20" x14ac:dyDescent="0.3">
      <c r="A936" s="13">
        <v>933</v>
      </c>
      <c r="B936" s="1" t="s">
        <v>714</v>
      </c>
      <c r="C936" s="39">
        <f t="shared" ca="1" si="75"/>
        <v>0</v>
      </c>
      <c r="D936" t="s">
        <v>310</v>
      </c>
      <c r="E936" t="s">
        <v>575</v>
      </c>
      <c r="F936" s="7" t="s">
        <v>78</v>
      </c>
      <c r="G936" s="6" t="s">
        <v>681</v>
      </c>
      <c r="H936" s="2" t="s">
        <v>681</v>
      </c>
      <c r="I936" s="1">
        <v>60</v>
      </c>
      <c r="J936" s="1">
        <v>5</v>
      </c>
      <c r="L936" s="45">
        <f t="shared" si="76"/>
        <v>45996</v>
      </c>
      <c r="M936" s="46">
        <f t="shared" si="77"/>
        <v>45996</v>
      </c>
      <c r="Q936" s="43">
        <f t="shared" si="78"/>
        <v>0</v>
      </c>
      <c r="R936" s="43">
        <f t="shared" ca="1" si="79"/>
        <v>0</v>
      </c>
      <c r="S936" s="22"/>
      <c r="T936" s="25">
        <v>45936</v>
      </c>
    </row>
    <row r="937" spans="1:20" x14ac:dyDescent="0.3">
      <c r="A937" s="13">
        <v>934</v>
      </c>
      <c r="B937" s="1" t="s">
        <v>714</v>
      </c>
      <c r="C937" s="39">
        <f t="shared" ca="1" si="75"/>
        <v>0</v>
      </c>
      <c r="D937" t="s">
        <v>310</v>
      </c>
      <c r="E937" t="s">
        <v>552</v>
      </c>
      <c r="F937" s="7" t="s">
        <v>78</v>
      </c>
      <c r="G937" s="6" t="s">
        <v>681</v>
      </c>
      <c r="H937" s="2" t="s">
        <v>681</v>
      </c>
      <c r="I937" s="1">
        <v>60</v>
      </c>
      <c r="J937" s="1">
        <v>5</v>
      </c>
      <c r="L937" s="45">
        <f t="shared" si="76"/>
        <v>45997</v>
      </c>
      <c r="M937" s="46">
        <f t="shared" si="77"/>
        <v>45997</v>
      </c>
      <c r="Q937" s="43">
        <f t="shared" si="78"/>
        <v>0</v>
      </c>
      <c r="R937" s="43">
        <f t="shared" ca="1" si="79"/>
        <v>0</v>
      </c>
      <c r="S937" s="22"/>
      <c r="T937" s="25">
        <v>45937</v>
      </c>
    </row>
    <row r="938" spans="1:20" x14ac:dyDescent="0.3">
      <c r="A938" s="13">
        <v>935</v>
      </c>
      <c r="B938" s="1" t="s">
        <v>714</v>
      </c>
      <c r="C938" s="39">
        <f t="shared" ca="1" si="75"/>
        <v>0</v>
      </c>
      <c r="D938" t="s">
        <v>310</v>
      </c>
      <c r="E938" t="s">
        <v>576</v>
      </c>
      <c r="F938" s="7" t="s">
        <v>78</v>
      </c>
      <c r="G938" s="6" t="s">
        <v>681</v>
      </c>
      <c r="H938" s="2" t="s">
        <v>681</v>
      </c>
      <c r="I938" s="1">
        <v>60</v>
      </c>
      <c r="J938" s="1">
        <v>5</v>
      </c>
      <c r="L938" s="45">
        <f t="shared" si="76"/>
        <v>45998</v>
      </c>
      <c r="M938" s="46">
        <f t="shared" si="77"/>
        <v>45998</v>
      </c>
      <c r="Q938" s="43">
        <f t="shared" si="78"/>
        <v>0</v>
      </c>
      <c r="R938" s="43">
        <f t="shared" ca="1" si="79"/>
        <v>0</v>
      </c>
      <c r="S938" s="22"/>
      <c r="T938" s="25">
        <v>45938</v>
      </c>
    </row>
    <row r="939" spans="1:20" x14ac:dyDescent="0.3">
      <c r="A939" s="13">
        <v>936</v>
      </c>
      <c r="B939" s="1" t="s">
        <v>714</v>
      </c>
      <c r="C939" s="39">
        <f t="shared" ca="1" si="75"/>
        <v>0</v>
      </c>
      <c r="D939" t="s">
        <v>311</v>
      </c>
      <c r="E939" t="s">
        <v>577</v>
      </c>
      <c r="F939" s="7" t="s">
        <v>78</v>
      </c>
      <c r="G939" s="6" t="s">
        <v>681</v>
      </c>
      <c r="H939" s="2" t="s">
        <v>681</v>
      </c>
      <c r="I939" s="1">
        <v>30</v>
      </c>
      <c r="J939" s="1">
        <v>5</v>
      </c>
      <c r="L939" s="45">
        <f t="shared" si="76"/>
        <v>45969</v>
      </c>
      <c r="M939" s="46">
        <f t="shared" si="77"/>
        <v>45969</v>
      </c>
      <c r="Q939" s="43">
        <f t="shared" si="78"/>
        <v>0</v>
      </c>
      <c r="R939" s="43">
        <f t="shared" ca="1" si="79"/>
        <v>0</v>
      </c>
      <c r="S939" s="22"/>
      <c r="T939" s="25">
        <v>45939</v>
      </c>
    </row>
    <row r="940" spans="1:20" x14ac:dyDescent="0.3">
      <c r="A940" s="13">
        <v>937</v>
      </c>
      <c r="B940" s="1" t="s">
        <v>714</v>
      </c>
      <c r="C940" s="39">
        <f t="shared" ca="1" si="75"/>
        <v>0</v>
      </c>
      <c r="D940" t="s">
        <v>311</v>
      </c>
      <c r="E940" t="s">
        <v>578</v>
      </c>
      <c r="F940" s="7" t="s">
        <v>78</v>
      </c>
      <c r="G940" s="6" t="s">
        <v>681</v>
      </c>
      <c r="H940" s="2" t="s">
        <v>681</v>
      </c>
      <c r="I940" s="1">
        <v>30</v>
      </c>
      <c r="J940" s="1">
        <v>5</v>
      </c>
      <c r="L940" s="45">
        <f t="shared" si="76"/>
        <v>45970</v>
      </c>
      <c r="M940" s="46">
        <f t="shared" si="77"/>
        <v>45970</v>
      </c>
      <c r="Q940" s="43">
        <f t="shared" si="78"/>
        <v>0</v>
      </c>
      <c r="R940" s="43">
        <f t="shared" ca="1" si="79"/>
        <v>0</v>
      </c>
      <c r="S940" s="22"/>
      <c r="T940" s="25">
        <v>45940</v>
      </c>
    </row>
    <row r="941" spans="1:20" x14ac:dyDescent="0.3">
      <c r="A941" s="13">
        <v>938</v>
      </c>
      <c r="B941" s="1" t="s">
        <v>714</v>
      </c>
      <c r="C941" s="39">
        <f t="shared" ca="1" si="75"/>
        <v>0</v>
      </c>
      <c r="D941" t="s">
        <v>311</v>
      </c>
      <c r="E941" t="s">
        <v>453</v>
      </c>
      <c r="F941" s="7" t="s">
        <v>78</v>
      </c>
      <c r="G941" s="6" t="s">
        <v>681</v>
      </c>
      <c r="H941" s="2" t="s">
        <v>681</v>
      </c>
      <c r="I941" s="1">
        <v>30</v>
      </c>
      <c r="J941" s="1">
        <v>5</v>
      </c>
      <c r="L941" s="45">
        <f t="shared" si="76"/>
        <v>45971</v>
      </c>
      <c r="M941" s="46">
        <f t="shared" si="77"/>
        <v>45971</v>
      </c>
      <c r="Q941" s="43">
        <f t="shared" si="78"/>
        <v>0</v>
      </c>
      <c r="R941" s="43">
        <f t="shared" ca="1" si="79"/>
        <v>0</v>
      </c>
      <c r="S941" s="22"/>
      <c r="T941" s="25">
        <v>45941</v>
      </c>
    </row>
    <row r="942" spans="1:20" x14ac:dyDescent="0.3">
      <c r="A942" s="13">
        <v>939</v>
      </c>
      <c r="B942" s="1" t="s">
        <v>714</v>
      </c>
      <c r="C942" s="39">
        <f t="shared" ca="1" si="75"/>
        <v>0</v>
      </c>
      <c r="D942" t="s">
        <v>311</v>
      </c>
      <c r="E942" t="s">
        <v>579</v>
      </c>
      <c r="F942" s="7" t="s">
        <v>78</v>
      </c>
      <c r="G942" s="6" t="s">
        <v>681</v>
      </c>
      <c r="H942" s="2" t="s">
        <v>681</v>
      </c>
      <c r="I942" s="1">
        <v>30</v>
      </c>
      <c r="J942" s="1">
        <v>5</v>
      </c>
      <c r="L942" s="45">
        <f t="shared" si="76"/>
        <v>45972</v>
      </c>
      <c r="M942" s="46">
        <f t="shared" si="77"/>
        <v>45972</v>
      </c>
      <c r="Q942" s="43">
        <f t="shared" si="78"/>
        <v>0</v>
      </c>
      <c r="R942" s="43">
        <f t="shared" ca="1" si="79"/>
        <v>0</v>
      </c>
      <c r="S942" s="22"/>
      <c r="T942" s="25">
        <v>45942</v>
      </c>
    </row>
    <row r="943" spans="1:20" x14ac:dyDescent="0.3">
      <c r="A943" s="13">
        <v>940</v>
      </c>
      <c r="B943" s="1" t="s">
        <v>714</v>
      </c>
      <c r="C943" s="39">
        <f t="shared" ca="1" si="75"/>
        <v>0</v>
      </c>
      <c r="D943" t="s">
        <v>311</v>
      </c>
      <c r="E943" t="s">
        <v>580</v>
      </c>
      <c r="F943" s="7" t="s">
        <v>78</v>
      </c>
      <c r="G943" s="6" t="s">
        <v>681</v>
      </c>
      <c r="H943" s="2" t="s">
        <v>681</v>
      </c>
      <c r="I943" s="1">
        <v>30</v>
      </c>
      <c r="J943" s="1">
        <v>5</v>
      </c>
      <c r="L943" s="45">
        <f t="shared" si="76"/>
        <v>45973</v>
      </c>
      <c r="M943" s="46">
        <f t="shared" si="77"/>
        <v>45973</v>
      </c>
      <c r="Q943" s="43">
        <f t="shared" si="78"/>
        <v>0</v>
      </c>
      <c r="R943" s="43">
        <f t="shared" ca="1" si="79"/>
        <v>0</v>
      </c>
      <c r="S943" s="22"/>
      <c r="T943" s="25">
        <v>45943</v>
      </c>
    </row>
    <row r="944" spans="1:20" x14ac:dyDescent="0.3">
      <c r="A944" s="13">
        <v>941</v>
      </c>
      <c r="B944" s="1" t="s">
        <v>714</v>
      </c>
      <c r="C944" s="39">
        <f t="shared" ca="1" si="75"/>
        <v>0</v>
      </c>
      <c r="D944" t="s">
        <v>311</v>
      </c>
      <c r="E944" t="s">
        <v>581</v>
      </c>
      <c r="F944" s="7" t="s">
        <v>78</v>
      </c>
      <c r="G944" s="6" t="s">
        <v>681</v>
      </c>
      <c r="H944" s="2" t="s">
        <v>681</v>
      </c>
      <c r="I944" s="1">
        <v>30</v>
      </c>
      <c r="J944" s="1">
        <v>5</v>
      </c>
      <c r="L944" s="45">
        <f t="shared" si="76"/>
        <v>45974</v>
      </c>
      <c r="M944" s="46">
        <f t="shared" si="77"/>
        <v>45974</v>
      </c>
      <c r="Q944" s="43">
        <f t="shared" si="78"/>
        <v>0</v>
      </c>
      <c r="R944" s="43">
        <f t="shared" ca="1" si="79"/>
        <v>0</v>
      </c>
      <c r="S944" s="22"/>
      <c r="T944" s="25">
        <v>45944</v>
      </c>
    </row>
    <row r="945" spans="1:20" x14ac:dyDescent="0.3">
      <c r="A945" s="13">
        <v>942</v>
      </c>
      <c r="B945" s="1" t="s">
        <v>714</v>
      </c>
      <c r="C945" s="39">
        <f t="shared" ca="1" si="75"/>
        <v>0</v>
      </c>
      <c r="D945" t="s">
        <v>311</v>
      </c>
      <c r="E945" t="s">
        <v>570</v>
      </c>
      <c r="F945" s="7" t="s">
        <v>78</v>
      </c>
      <c r="G945" s="6" t="s">
        <v>681</v>
      </c>
      <c r="H945" s="2" t="s">
        <v>681</v>
      </c>
      <c r="I945" s="1">
        <v>180</v>
      </c>
      <c r="J945" s="1">
        <v>5</v>
      </c>
      <c r="L945" s="45">
        <f t="shared" si="76"/>
        <v>46125</v>
      </c>
      <c r="M945" s="46">
        <f t="shared" si="77"/>
        <v>46125</v>
      </c>
      <c r="Q945" s="43">
        <f t="shared" si="78"/>
        <v>0</v>
      </c>
      <c r="R945" s="43">
        <f t="shared" ca="1" si="79"/>
        <v>0</v>
      </c>
      <c r="S945" s="22"/>
      <c r="T945" s="25">
        <v>45945</v>
      </c>
    </row>
    <row r="946" spans="1:20" x14ac:dyDescent="0.3">
      <c r="A946" s="13">
        <v>943</v>
      </c>
      <c r="B946" s="1" t="s">
        <v>714</v>
      </c>
      <c r="C946" s="39">
        <f t="shared" ca="1" si="75"/>
        <v>0</v>
      </c>
      <c r="D946" t="s">
        <v>311</v>
      </c>
      <c r="E946" t="s">
        <v>401</v>
      </c>
      <c r="F946" s="7" t="s">
        <v>78</v>
      </c>
      <c r="G946" s="6" t="s">
        <v>681</v>
      </c>
      <c r="H946" s="2" t="s">
        <v>681</v>
      </c>
      <c r="I946" s="1">
        <v>30</v>
      </c>
      <c r="J946" s="1">
        <v>5</v>
      </c>
      <c r="L946" s="45">
        <f t="shared" si="76"/>
        <v>45976</v>
      </c>
      <c r="M946" s="46">
        <f t="shared" si="77"/>
        <v>45976</v>
      </c>
      <c r="Q946" s="43">
        <f t="shared" si="78"/>
        <v>0</v>
      </c>
      <c r="R946" s="43">
        <f t="shared" ca="1" si="79"/>
        <v>0</v>
      </c>
      <c r="S946" s="22"/>
      <c r="T946" s="25">
        <v>45946</v>
      </c>
    </row>
    <row r="947" spans="1:20" x14ac:dyDescent="0.3">
      <c r="A947" s="13">
        <v>944</v>
      </c>
      <c r="B947" s="1" t="s">
        <v>714</v>
      </c>
      <c r="C947" s="39">
        <f t="shared" ca="1" si="75"/>
        <v>0</v>
      </c>
      <c r="D947" t="s">
        <v>311</v>
      </c>
      <c r="E947" t="s">
        <v>582</v>
      </c>
      <c r="F947" s="7" t="s">
        <v>78</v>
      </c>
      <c r="G947" s="6" t="s">
        <v>681</v>
      </c>
      <c r="H947" s="2" t="s">
        <v>681</v>
      </c>
      <c r="I947" s="1">
        <v>30</v>
      </c>
      <c r="J947" s="1">
        <v>5</v>
      </c>
      <c r="L947" s="45">
        <f t="shared" si="76"/>
        <v>45977</v>
      </c>
      <c r="M947" s="46">
        <f t="shared" si="77"/>
        <v>45977</v>
      </c>
      <c r="Q947" s="43">
        <f t="shared" si="78"/>
        <v>0</v>
      </c>
      <c r="R947" s="43">
        <f t="shared" ca="1" si="79"/>
        <v>0</v>
      </c>
      <c r="S947" s="22"/>
      <c r="T947" s="25">
        <v>45947</v>
      </c>
    </row>
    <row r="948" spans="1:20" x14ac:dyDescent="0.3">
      <c r="A948" s="13">
        <v>945</v>
      </c>
      <c r="B948" s="1" t="s">
        <v>714</v>
      </c>
      <c r="C948" s="39">
        <f t="shared" ca="1" si="75"/>
        <v>0</v>
      </c>
      <c r="D948" t="s">
        <v>311</v>
      </c>
      <c r="E948" t="s">
        <v>583</v>
      </c>
      <c r="F948" s="7" t="s">
        <v>78</v>
      </c>
      <c r="G948" s="6" t="s">
        <v>681</v>
      </c>
      <c r="H948" s="2" t="s">
        <v>681</v>
      </c>
      <c r="I948" s="1">
        <v>30</v>
      </c>
      <c r="J948" s="1">
        <v>5</v>
      </c>
      <c r="L948" s="45">
        <f t="shared" si="76"/>
        <v>45978</v>
      </c>
      <c r="M948" s="46">
        <f t="shared" si="77"/>
        <v>45978</v>
      </c>
      <c r="Q948" s="43">
        <f t="shared" si="78"/>
        <v>0</v>
      </c>
      <c r="R948" s="43">
        <f t="shared" ca="1" si="79"/>
        <v>0</v>
      </c>
      <c r="S948" s="22"/>
      <c r="T948" s="25">
        <v>45948</v>
      </c>
    </row>
    <row r="949" spans="1:20" x14ac:dyDescent="0.3">
      <c r="A949" s="13">
        <v>946</v>
      </c>
      <c r="B949" s="1" t="s">
        <v>714</v>
      </c>
      <c r="C949" s="39">
        <f t="shared" ca="1" si="75"/>
        <v>0</v>
      </c>
      <c r="D949" t="s">
        <v>311</v>
      </c>
      <c r="E949" t="s">
        <v>584</v>
      </c>
      <c r="F949" s="7" t="s">
        <v>78</v>
      </c>
      <c r="G949" s="6" t="s">
        <v>681</v>
      </c>
      <c r="H949" s="2" t="s">
        <v>681</v>
      </c>
      <c r="I949" s="1">
        <v>30</v>
      </c>
      <c r="J949" s="1">
        <v>5</v>
      </c>
      <c r="L949" s="45">
        <f t="shared" si="76"/>
        <v>45979</v>
      </c>
      <c r="M949" s="46">
        <f t="shared" si="77"/>
        <v>45979</v>
      </c>
      <c r="Q949" s="43">
        <f t="shared" si="78"/>
        <v>0</v>
      </c>
      <c r="R949" s="43">
        <f t="shared" ca="1" si="79"/>
        <v>0</v>
      </c>
      <c r="S949" s="22"/>
      <c r="T949" s="25">
        <v>45949</v>
      </c>
    </row>
    <row r="950" spans="1:20" x14ac:dyDescent="0.3">
      <c r="A950" s="13">
        <v>947</v>
      </c>
      <c r="B950" s="1" t="s">
        <v>714</v>
      </c>
      <c r="C950" s="39">
        <f t="shared" ca="1" si="75"/>
        <v>0</v>
      </c>
      <c r="D950" t="s">
        <v>311</v>
      </c>
      <c r="E950" t="s">
        <v>554</v>
      </c>
      <c r="F950" s="7" t="s">
        <v>78</v>
      </c>
      <c r="G950" s="6" t="s">
        <v>681</v>
      </c>
      <c r="H950" s="2" t="s">
        <v>681</v>
      </c>
      <c r="I950" s="1">
        <v>30</v>
      </c>
      <c r="J950" s="1">
        <v>5</v>
      </c>
      <c r="L950" s="45">
        <f t="shared" si="76"/>
        <v>45980</v>
      </c>
      <c r="M950" s="46">
        <f t="shared" si="77"/>
        <v>45980</v>
      </c>
      <c r="Q950" s="43">
        <f t="shared" si="78"/>
        <v>0</v>
      </c>
      <c r="R950" s="43">
        <f t="shared" ca="1" si="79"/>
        <v>0</v>
      </c>
      <c r="S950" s="22"/>
      <c r="T950" s="25">
        <v>45950</v>
      </c>
    </row>
    <row r="951" spans="1:20" x14ac:dyDescent="0.3">
      <c r="A951" s="13">
        <v>948</v>
      </c>
      <c r="B951" s="1" t="s">
        <v>714</v>
      </c>
      <c r="C951" s="39">
        <f t="shared" ca="1" si="75"/>
        <v>0</v>
      </c>
      <c r="D951" t="s">
        <v>311</v>
      </c>
      <c r="E951" t="s">
        <v>585</v>
      </c>
      <c r="F951" s="7" t="s">
        <v>78</v>
      </c>
      <c r="G951" s="6" t="s">
        <v>681</v>
      </c>
      <c r="H951" s="2" t="s">
        <v>681</v>
      </c>
      <c r="I951" s="1">
        <v>30</v>
      </c>
      <c r="J951" s="1">
        <v>5</v>
      </c>
      <c r="L951" s="45">
        <f t="shared" si="76"/>
        <v>45981</v>
      </c>
      <c r="M951" s="46">
        <f t="shared" si="77"/>
        <v>45981</v>
      </c>
      <c r="Q951" s="43">
        <f t="shared" si="78"/>
        <v>0</v>
      </c>
      <c r="R951" s="43">
        <f t="shared" ca="1" si="79"/>
        <v>0</v>
      </c>
      <c r="S951" s="22"/>
      <c r="T951" s="25">
        <v>45951</v>
      </c>
    </row>
    <row r="952" spans="1:20" x14ac:dyDescent="0.3">
      <c r="A952" s="13">
        <v>949</v>
      </c>
      <c r="B952" s="1" t="s">
        <v>714</v>
      </c>
      <c r="C952" s="39">
        <f t="shared" ca="1" si="75"/>
        <v>0</v>
      </c>
      <c r="D952" t="s">
        <v>311</v>
      </c>
      <c r="E952" t="s">
        <v>586</v>
      </c>
      <c r="F952" s="7" t="s">
        <v>78</v>
      </c>
      <c r="G952" s="6" t="s">
        <v>681</v>
      </c>
      <c r="H952" s="2" t="s">
        <v>681</v>
      </c>
      <c r="I952" s="1">
        <v>30</v>
      </c>
      <c r="J952" s="1">
        <v>5</v>
      </c>
      <c r="L952" s="45">
        <f t="shared" si="76"/>
        <v>45982</v>
      </c>
      <c r="M952" s="46">
        <f t="shared" si="77"/>
        <v>45982</v>
      </c>
      <c r="Q952" s="43">
        <f t="shared" si="78"/>
        <v>0</v>
      </c>
      <c r="R952" s="43">
        <f t="shared" ca="1" si="79"/>
        <v>0</v>
      </c>
      <c r="S952" s="22"/>
      <c r="T952" s="25">
        <v>45952</v>
      </c>
    </row>
    <row r="953" spans="1:20" x14ac:dyDescent="0.3">
      <c r="A953" s="13">
        <v>950</v>
      </c>
      <c r="B953" s="1" t="s">
        <v>714</v>
      </c>
      <c r="C953" s="39">
        <f t="shared" ca="1" si="75"/>
        <v>0</v>
      </c>
      <c r="D953" t="s">
        <v>312</v>
      </c>
      <c r="E953" t="s">
        <v>587</v>
      </c>
      <c r="F953" s="7" t="s">
        <v>78</v>
      </c>
      <c r="G953" s="6" t="s">
        <v>681</v>
      </c>
      <c r="H953" s="2" t="s">
        <v>681</v>
      </c>
      <c r="I953" s="1">
        <v>30</v>
      </c>
      <c r="J953" s="1">
        <v>5</v>
      </c>
      <c r="L953" s="45">
        <f t="shared" si="76"/>
        <v>45983</v>
      </c>
      <c r="M953" s="46">
        <f t="shared" si="77"/>
        <v>45983</v>
      </c>
      <c r="Q953" s="43">
        <f t="shared" si="78"/>
        <v>0</v>
      </c>
      <c r="R953" s="43">
        <f t="shared" ca="1" si="79"/>
        <v>0</v>
      </c>
      <c r="S953" s="22"/>
      <c r="T953" s="25">
        <v>45953</v>
      </c>
    </row>
    <row r="954" spans="1:20" x14ac:dyDescent="0.3">
      <c r="A954" s="13">
        <v>951</v>
      </c>
      <c r="B954" s="1" t="s">
        <v>714</v>
      </c>
      <c r="C954" s="39">
        <f t="shared" ca="1" si="75"/>
        <v>0</v>
      </c>
      <c r="D954" t="s">
        <v>312</v>
      </c>
      <c r="E954" t="s">
        <v>588</v>
      </c>
      <c r="F954" s="7" t="s">
        <v>78</v>
      </c>
      <c r="G954" s="6" t="s">
        <v>681</v>
      </c>
      <c r="H954" s="2" t="s">
        <v>681</v>
      </c>
      <c r="I954" s="1">
        <v>30</v>
      </c>
      <c r="J954" s="1">
        <v>5</v>
      </c>
      <c r="L954" s="45">
        <f t="shared" si="76"/>
        <v>45984</v>
      </c>
      <c r="M954" s="46">
        <f t="shared" si="77"/>
        <v>45984</v>
      </c>
      <c r="Q954" s="43">
        <f t="shared" si="78"/>
        <v>0</v>
      </c>
      <c r="R954" s="43">
        <f t="shared" ca="1" si="79"/>
        <v>0</v>
      </c>
      <c r="S954" s="22"/>
      <c r="T954" s="25">
        <v>45954</v>
      </c>
    </row>
    <row r="955" spans="1:20" x14ac:dyDescent="0.3">
      <c r="A955" s="13">
        <v>952</v>
      </c>
      <c r="B955" s="1" t="s">
        <v>714</v>
      </c>
      <c r="C955" s="39">
        <f t="shared" ca="1" si="75"/>
        <v>0</v>
      </c>
      <c r="D955" t="s">
        <v>312</v>
      </c>
      <c r="E955" t="s">
        <v>231</v>
      </c>
      <c r="F955" s="7" t="s">
        <v>78</v>
      </c>
      <c r="G955" s="6" t="s">
        <v>681</v>
      </c>
      <c r="H955" s="2" t="s">
        <v>681</v>
      </c>
      <c r="I955" s="1">
        <v>30</v>
      </c>
      <c r="J955" s="1">
        <v>5</v>
      </c>
      <c r="L955" s="45">
        <f t="shared" si="76"/>
        <v>45985</v>
      </c>
      <c r="M955" s="46">
        <f t="shared" si="77"/>
        <v>45985</v>
      </c>
      <c r="Q955" s="43">
        <f t="shared" si="78"/>
        <v>0</v>
      </c>
      <c r="R955" s="43">
        <f t="shared" ca="1" si="79"/>
        <v>0</v>
      </c>
      <c r="S955" s="22"/>
      <c r="T955" s="25">
        <v>45955</v>
      </c>
    </row>
    <row r="956" spans="1:20" x14ac:dyDescent="0.3">
      <c r="A956" s="13">
        <v>953</v>
      </c>
      <c r="B956" s="1" t="s">
        <v>714</v>
      </c>
      <c r="C956" s="39">
        <f t="shared" ca="1" si="75"/>
        <v>0</v>
      </c>
      <c r="D956" t="s">
        <v>312</v>
      </c>
      <c r="E956" t="s">
        <v>589</v>
      </c>
      <c r="F956" s="7" t="s">
        <v>78</v>
      </c>
      <c r="G956" s="6" t="s">
        <v>681</v>
      </c>
      <c r="H956" s="2" t="s">
        <v>681</v>
      </c>
      <c r="I956" s="1">
        <v>30</v>
      </c>
      <c r="J956" s="1">
        <v>5</v>
      </c>
      <c r="L956" s="45">
        <f t="shared" si="76"/>
        <v>45986</v>
      </c>
      <c r="M956" s="46">
        <f t="shared" si="77"/>
        <v>45986</v>
      </c>
      <c r="Q956" s="43">
        <f t="shared" si="78"/>
        <v>0</v>
      </c>
      <c r="R956" s="43">
        <f t="shared" ca="1" si="79"/>
        <v>0</v>
      </c>
      <c r="S956" s="22"/>
      <c r="T956" s="25">
        <v>45956</v>
      </c>
    </row>
    <row r="957" spans="1:20" x14ac:dyDescent="0.3">
      <c r="A957" s="13">
        <v>954</v>
      </c>
      <c r="B957" s="1" t="s">
        <v>714</v>
      </c>
      <c r="C957" s="39">
        <f t="shared" ca="1" si="75"/>
        <v>0</v>
      </c>
      <c r="D957" t="s">
        <v>312</v>
      </c>
      <c r="E957" t="s">
        <v>584</v>
      </c>
      <c r="F957" s="7" t="s">
        <v>78</v>
      </c>
      <c r="G957" s="6" t="s">
        <v>681</v>
      </c>
      <c r="H957" s="2" t="s">
        <v>681</v>
      </c>
      <c r="I957" s="1">
        <v>30</v>
      </c>
      <c r="J957" s="1">
        <v>5</v>
      </c>
      <c r="L957" s="45">
        <f t="shared" si="76"/>
        <v>45987</v>
      </c>
      <c r="M957" s="46">
        <f t="shared" si="77"/>
        <v>45987</v>
      </c>
      <c r="Q957" s="43">
        <f t="shared" si="78"/>
        <v>0</v>
      </c>
      <c r="R957" s="43">
        <f t="shared" ca="1" si="79"/>
        <v>0</v>
      </c>
      <c r="S957" s="22"/>
      <c r="T957" s="25">
        <v>45957</v>
      </c>
    </row>
    <row r="958" spans="1:20" x14ac:dyDescent="0.3">
      <c r="A958" s="13">
        <v>955</v>
      </c>
      <c r="B958" s="1" t="s">
        <v>714</v>
      </c>
      <c r="C958" s="39">
        <f t="shared" ca="1" si="75"/>
        <v>0</v>
      </c>
      <c r="D958" t="s">
        <v>312</v>
      </c>
      <c r="E958" t="s">
        <v>584</v>
      </c>
      <c r="F958" s="7" t="s">
        <v>78</v>
      </c>
      <c r="G958" s="6" t="s">
        <v>681</v>
      </c>
      <c r="H958" s="2" t="s">
        <v>681</v>
      </c>
      <c r="I958" s="1">
        <v>30</v>
      </c>
      <c r="J958" s="1">
        <v>5</v>
      </c>
      <c r="L958" s="45">
        <f t="shared" si="76"/>
        <v>45988</v>
      </c>
      <c r="M958" s="46">
        <f t="shared" si="77"/>
        <v>45988</v>
      </c>
      <c r="Q958" s="43">
        <f t="shared" si="78"/>
        <v>0</v>
      </c>
      <c r="R958" s="43">
        <f t="shared" ca="1" si="79"/>
        <v>0</v>
      </c>
      <c r="S958" s="22"/>
      <c r="T958" s="25">
        <v>45958</v>
      </c>
    </row>
    <row r="959" spans="1:20" x14ac:dyDescent="0.3">
      <c r="A959" s="13">
        <v>956</v>
      </c>
      <c r="B959" s="1" t="s">
        <v>714</v>
      </c>
      <c r="C959" s="39">
        <f t="shared" ca="1" si="75"/>
        <v>0</v>
      </c>
      <c r="D959" t="s">
        <v>312</v>
      </c>
      <c r="E959" t="s">
        <v>590</v>
      </c>
      <c r="F959" s="7" t="s">
        <v>78</v>
      </c>
      <c r="G959" s="6" t="s">
        <v>681</v>
      </c>
      <c r="H959" s="2" t="s">
        <v>681</v>
      </c>
      <c r="I959" s="1">
        <v>30</v>
      </c>
      <c r="J959" s="1">
        <v>5</v>
      </c>
      <c r="L959" s="45">
        <f t="shared" si="76"/>
        <v>45989</v>
      </c>
      <c r="M959" s="46">
        <f t="shared" si="77"/>
        <v>45989</v>
      </c>
      <c r="Q959" s="43">
        <f t="shared" si="78"/>
        <v>0</v>
      </c>
      <c r="R959" s="43">
        <f t="shared" ca="1" si="79"/>
        <v>0</v>
      </c>
      <c r="S959" s="22"/>
      <c r="T959" s="25">
        <v>45959</v>
      </c>
    </row>
    <row r="960" spans="1:20" x14ac:dyDescent="0.3">
      <c r="A960" s="13">
        <v>957</v>
      </c>
      <c r="B960" s="1" t="s">
        <v>714</v>
      </c>
      <c r="C960" s="39">
        <f t="shared" ca="1" si="75"/>
        <v>0</v>
      </c>
      <c r="D960" t="s">
        <v>312</v>
      </c>
      <c r="E960" t="s">
        <v>591</v>
      </c>
      <c r="F960" s="7" t="s">
        <v>78</v>
      </c>
      <c r="G960" s="6" t="s">
        <v>681</v>
      </c>
      <c r="H960" s="2" t="s">
        <v>681</v>
      </c>
      <c r="I960" s="1">
        <v>30</v>
      </c>
      <c r="J960" s="1">
        <v>5</v>
      </c>
      <c r="L960" s="45">
        <f t="shared" si="76"/>
        <v>45990</v>
      </c>
      <c r="M960" s="46">
        <f t="shared" si="77"/>
        <v>45990</v>
      </c>
      <c r="Q960" s="43">
        <f t="shared" si="78"/>
        <v>0</v>
      </c>
      <c r="R960" s="43">
        <f t="shared" ca="1" si="79"/>
        <v>0</v>
      </c>
      <c r="S960" s="22"/>
      <c r="T960" s="25">
        <v>45960</v>
      </c>
    </row>
    <row r="961" spans="1:20" x14ac:dyDescent="0.3">
      <c r="A961" s="13">
        <v>958</v>
      </c>
      <c r="B961" s="1" t="s">
        <v>714</v>
      </c>
      <c r="C961" s="39">
        <f t="shared" ca="1" si="75"/>
        <v>0</v>
      </c>
      <c r="D961" t="s">
        <v>312</v>
      </c>
      <c r="E961" t="s">
        <v>592</v>
      </c>
      <c r="F961" s="7" t="s">
        <v>78</v>
      </c>
      <c r="G961" s="6" t="s">
        <v>681</v>
      </c>
      <c r="H961" s="2" t="s">
        <v>681</v>
      </c>
      <c r="I961" s="1">
        <v>30</v>
      </c>
      <c r="J961" s="1">
        <v>5</v>
      </c>
      <c r="L961" s="45">
        <f t="shared" si="76"/>
        <v>45991</v>
      </c>
      <c r="M961" s="46">
        <f t="shared" si="77"/>
        <v>45991</v>
      </c>
      <c r="Q961" s="43">
        <f t="shared" si="78"/>
        <v>0</v>
      </c>
      <c r="R961" s="43">
        <f t="shared" ca="1" si="79"/>
        <v>0</v>
      </c>
      <c r="S961" s="22"/>
      <c r="T961" s="25">
        <v>45961</v>
      </c>
    </row>
    <row r="962" spans="1:20" x14ac:dyDescent="0.3">
      <c r="A962" s="13">
        <v>959</v>
      </c>
      <c r="B962" s="1" t="s">
        <v>714</v>
      </c>
      <c r="C962" s="39">
        <f t="shared" ca="1" si="75"/>
        <v>0</v>
      </c>
      <c r="D962" t="s">
        <v>313</v>
      </c>
      <c r="E962" t="s">
        <v>593</v>
      </c>
      <c r="F962" s="7" t="s">
        <v>78</v>
      </c>
      <c r="G962" s="6" t="s">
        <v>681</v>
      </c>
      <c r="H962" s="2" t="s">
        <v>681</v>
      </c>
      <c r="I962" s="1">
        <v>30</v>
      </c>
      <c r="J962" s="1">
        <v>5</v>
      </c>
      <c r="L962" s="45">
        <f t="shared" si="76"/>
        <v>45992</v>
      </c>
      <c r="M962" s="46">
        <f t="shared" si="77"/>
        <v>45992</v>
      </c>
      <c r="Q962" s="43">
        <f t="shared" si="78"/>
        <v>0</v>
      </c>
      <c r="R962" s="43">
        <f t="shared" ca="1" si="79"/>
        <v>0</v>
      </c>
      <c r="S962" s="22"/>
      <c r="T962" s="25">
        <v>45962</v>
      </c>
    </row>
    <row r="963" spans="1:20" x14ac:dyDescent="0.3">
      <c r="A963" s="13">
        <v>960</v>
      </c>
      <c r="B963" s="1" t="s">
        <v>714</v>
      </c>
      <c r="C963" s="39">
        <f t="shared" ca="1" si="75"/>
        <v>0</v>
      </c>
      <c r="D963" t="s">
        <v>313</v>
      </c>
      <c r="E963" t="s">
        <v>425</v>
      </c>
      <c r="F963" s="7" t="s">
        <v>78</v>
      </c>
      <c r="G963" s="6" t="s">
        <v>681</v>
      </c>
      <c r="H963" s="2" t="s">
        <v>681</v>
      </c>
      <c r="I963" s="1">
        <v>30</v>
      </c>
      <c r="J963" s="1">
        <v>5</v>
      </c>
      <c r="L963" s="45">
        <f t="shared" si="76"/>
        <v>45993</v>
      </c>
      <c r="M963" s="46">
        <f t="shared" si="77"/>
        <v>45993</v>
      </c>
      <c r="Q963" s="43">
        <f t="shared" si="78"/>
        <v>0</v>
      </c>
      <c r="R963" s="43">
        <f t="shared" ca="1" si="79"/>
        <v>0</v>
      </c>
      <c r="S963" s="22"/>
      <c r="T963" s="25">
        <v>45963</v>
      </c>
    </row>
    <row r="964" spans="1:20" x14ac:dyDescent="0.3">
      <c r="A964" s="13">
        <v>961</v>
      </c>
      <c r="B964" s="1" t="s">
        <v>714</v>
      </c>
      <c r="C964" s="39">
        <f t="shared" ca="1" si="75"/>
        <v>0</v>
      </c>
      <c r="D964" t="s">
        <v>313</v>
      </c>
      <c r="E964" t="s">
        <v>560</v>
      </c>
      <c r="F964" s="7" t="s">
        <v>78</v>
      </c>
      <c r="G964" s="6" t="s">
        <v>681</v>
      </c>
      <c r="H964" s="2" t="s">
        <v>681</v>
      </c>
      <c r="I964" s="1">
        <v>30</v>
      </c>
      <c r="J964" s="1">
        <v>5</v>
      </c>
      <c r="L964" s="45">
        <f t="shared" si="76"/>
        <v>45994</v>
      </c>
      <c r="M964" s="46">
        <f t="shared" si="77"/>
        <v>45994</v>
      </c>
      <c r="Q964" s="43">
        <f t="shared" si="78"/>
        <v>0</v>
      </c>
      <c r="R964" s="43">
        <f t="shared" ca="1" si="79"/>
        <v>0</v>
      </c>
      <c r="S964" s="22"/>
      <c r="T964" s="25">
        <v>45964</v>
      </c>
    </row>
    <row r="965" spans="1:20" x14ac:dyDescent="0.3">
      <c r="A965" s="13">
        <v>962</v>
      </c>
      <c r="B965" s="1" t="s">
        <v>714</v>
      </c>
      <c r="C965" s="39">
        <f t="shared" ref="C965:C1028" ca="1" si="80">IF(L965&lt;=$A$2,1,0)</f>
        <v>0</v>
      </c>
      <c r="D965" t="s">
        <v>313</v>
      </c>
      <c r="E965" t="s">
        <v>559</v>
      </c>
      <c r="F965" s="7" t="s">
        <v>78</v>
      </c>
      <c r="G965" s="6" t="s">
        <v>681</v>
      </c>
      <c r="H965" s="2" t="s">
        <v>681</v>
      </c>
      <c r="I965" s="1">
        <v>30</v>
      </c>
      <c r="J965" s="1">
        <v>5</v>
      </c>
      <c r="L965" s="45">
        <f t="shared" ref="L965:L1028" si="81">IF(N965="",M965,N965)</f>
        <v>45995</v>
      </c>
      <c r="M965" s="46">
        <f t="shared" si="77"/>
        <v>45995</v>
      </c>
      <c r="Q965" s="43">
        <f t="shared" si="78"/>
        <v>0</v>
      </c>
      <c r="R965" s="43">
        <f t="shared" ca="1" si="79"/>
        <v>0</v>
      </c>
      <c r="S965" s="22"/>
      <c r="T965" s="25">
        <v>45965</v>
      </c>
    </row>
    <row r="966" spans="1:20" x14ac:dyDescent="0.3">
      <c r="A966" s="13">
        <v>963</v>
      </c>
      <c r="B966" s="1" t="s">
        <v>714</v>
      </c>
      <c r="C966" s="39">
        <f t="shared" ca="1" si="80"/>
        <v>0</v>
      </c>
      <c r="D966" t="s">
        <v>313</v>
      </c>
      <c r="E966" t="s">
        <v>594</v>
      </c>
      <c r="F966" s="7" t="s">
        <v>78</v>
      </c>
      <c r="G966" s="6" t="s">
        <v>681</v>
      </c>
      <c r="H966" s="2" t="s">
        <v>681</v>
      </c>
      <c r="I966" s="1">
        <v>30</v>
      </c>
      <c r="J966" s="1">
        <v>5</v>
      </c>
      <c r="L966" s="45">
        <f t="shared" si="81"/>
        <v>45996</v>
      </c>
      <c r="M966" s="46">
        <f t="shared" si="77"/>
        <v>45996</v>
      </c>
      <c r="Q966" s="43">
        <f t="shared" si="78"/>
        <v>0</v>
      </c>
      <c r="R966" s="43">
        <f t="shared" ca="1" si="79"/>
        <v>0</v>
      </c>
      <c r="S966" s="22"/>
      <c r="T966" s="25">
        <v>45966</v>
      </c>
    </row>
    <row r="967" spans="1:20" x14ac:dyDescent="0.3">
      <c r="A967" s="13">
        <v>964</v>
      </c>
      <c r="B967" s="1" t="s">
        <v>714</v>
      </c>
      <c r="C967" s="39">
        <f t="shared" ca="1" si="80"/>
        <v>0</v>
      </c>
      <c r="D967" t="s">
        <v>314</v>
      </c>
      <c r="E967" t="s">
        <v>595</v>
      </c>
      <c r="F967" s="7" t="s">
        <v>78</v>
      </c>
      <c r="G967" s="6" t="s">
        <v>681</v>
      </c>
      <c r="H967" s="2" t="s">
        <v>681</v>
      </c>
      <c r="I967" s="1">
        <v>30</v>
      </c>
      <c r="J967" s="1">
        <v>5</v>
      </c>
      <c r="L967" s="45">
        <f t="shared" si="81"/>
        <v>45997</v>
      </c>
      <c r="M967" s="46">
        <f t="shared" si="77"/>
        <v>45997</v>
      </c>
      <c r="Q967" s="43">
        <f t="shared" si="78"/>
        <v>0</v>
      </c>
      <c r="R967" s="43">
        <f t="shared" ca="1" si="79"/>
        <v>0</v>
      </c>
      <c r="S967" s="22"/>
      <c r="T967" s="25">
        <v>45967</v>
      </c>
    </row>
    <row r="968" spans="1:20" x14ac:dyDescent="0.3">
      <c r="A968" s="13">
        <v>965</v>
      </c>
      <c r="B968" s="1" t="s">
        <v>714</v>
      </c>
      <c r="C968" s="39">
        <f t="shared" ca="1" si="80"/>
        <v>0</v>
      </c>
      <c r="D968" t="s">
        <v>314</v>
      </c>
      <c r="E968" t="s">
        <v>596</v>
      </c>
      <c r="F968" s="7" t="s">
        <v>78</v>
      </c>
      <c r="G968" s="6" t="s">
        <v>681</v>
      </c>
      <c r="H968" s="2" t="s">
        <v>681</v>
      </c>
      <c r="I968" s="1">
        <v>30</v>
      </c>
      <c r="J968" s="1">
        <v>5</v>
      </c>
      <c r="L968" s="45">
        <f t="shared" si="81"/>
        <v>45998</v>
      </c>
      <c r="M968" s="46">
        <f t="shared" si="77"/>
        <v>45998</v>
      </c>
      <c r="Q968" s="43">
        <f t="shared" si="78"/>
        <v>0</v>
      </c>
      <c r="R968" s="43">
        <f t="shared" ca="1" si="79"/>
        <v>0</v>
      </c>
      <c r="S968" s="22"/>
      <c r="T968" s="25">
        <v>45968</v>
      </c>
    </row>
    <row r="969" spans="1:20" x14ac:dyDescent="0.3">
      <c r="A969" s="13">
        <v>966</v>
      </c>
      <c r="B969" s="1" t="s">
        <v>714</v>
      </c>
      <c r="C969" s="39">
        <f t="shared" ca="1" si="80"/>
        <v>0</v>
      </c>
      <c r="D969" t="s">
        <v>314</v>
      </c>
      <c r="E969" t="s">
        <v>597</v>
      </c>
      <c r="F969" s="7" t="s">
        <v>78</v>
      </c>
      <c r="G969" s="6" t="s">
        <v>681</v>
      </c>
      <c r="H969" s="2" t="s">
        <v>681</v>
      </c>
      <c r="I969" s="1">
        <v>30</v>
      </c>
      <c r="J969" s="1">
        <v>5</v>
      </c>
      <c r="L969" s="45">
        <f t="shared" si="81"/>
        <v>45999</v>
      </c>
      <c r="M969" s="46">
        <f t="shared" si="77"/>
        <v>45999</v>
      </c>
      <c r="Q969" s="43">
        <f t="shared" si="78"/>
        <v>0</v>
      </c>
      <c r="R969" s="43">
        <f t="shared" ca="1" si="79"/>
        <v>0</v>
      </c>
      <c r="S969" s="22"/>
      <c r="T969" s="25">
        <v>45969</v>
      </c>
    </row>
    <row r="970" spans="1:20" x14ac:dyDescent="0.3">
      <c r="A970" s="13">
        <v>967</v>
      </c>
      <c r="B970" s="1" t="s">
        <v>714</v>
      </c>
      <c r="C970" s="39">
        <f t="shared" ca="1" si="80"/>
        <v>0</v>
      </c>
      <c r="D970" t="s">
        <v>314</v>
      </c>
      <c r="E970" t="s">
        <v>598</v>
      </c>
      <c r="F970" s="7" t="s">
        <v>78</v>
      </c>
      <c r="G970" s="6" t="s">
        <v>681</v>
      </c>
      <c r="H970" s="2" t="s">
        <v>681</v>
      </c>
      <c r="I970" s="1">
        <v>30</v>
      </c>
      <c r="J970" s="1">
        <v>5</v>
      </c>
      <c r="L970" s="45">
        <f t="shared" si="81"/>
        <v>46000</v>
      </c>
      <c r="M970" s="46">
        <f t="shared" si="77"/>
        <v>46000</v>
      </c>
      <c r="Q970" s="43">
        <f t="shared" si="78"/>
        <v>0</v>
      </c>
      <c r="R970" s="43">
        <f t="shared" ca="1" si="79"/>
        <v>0</v>
      </c>
      <c r="S970" s="22"/>
      <c r="T970" s="25">
        <v>45970</v>
      </c>
    </row>
    <row r="971" spans="1:20" x14ac:dyDescent="0.3">
      <c r="A971" s="13">
        <v>968</v>
      </c>
      <c r="B971" s="1" t="s">
        <v>714</v>
      </c>
      <c r="C971" s="39">
        <f t="shared" ca="1" si="80"/>
        <v>0</v>
      </c>
      <c r="D971" t="s">
        <v>314</v>
      </c>
      <c r="E971" t="s">
        <v>584</v>
      </c>
      <c r="F971" s="7" t="s">
        <v>78</v>
      </c>
      <c r="G971" s="6" t="s">
        <v>681</v>
      </c>
      <c r="H971" s="2" t="s">
        <v>681</v>
      </c>
      <c r="I971" s="1">
        <v>30</v>
      </c>
      <c r="J971" s="1">
        <v>5</v>
      </c>
      <c r="L971" s="45">
        <f t="shared" si="81"/>
        <v>46001</v>
      </c>
      <c r="M971" s="46">
        <f t="shared" si="77"/>
        <v>46001</v>
      </c>
      <c r="Q971" s="43">
        <f t="shared" si="78"/>
        <v>0</v>
      </c>
      <c r="R971" s="43">
        <f t="shared" ca="1" si="79"/>
        <v>0</v>
      </c>
      <c r="S971" s="22"/>
      <c r="T971" s="25">
        <v>45971</v>
      </c>
    </row>
    <row r="972" spans="1:20" x14ac:dyDescent="0.3">
      <c r="A972" s="13">
        <v>969</v>
      </c>
      <c r="B972" s="1" t="s">
        <v>714</v>
      </c>
      <c r="C972" s="39">
        <f t="shared" ca="1" si="80"/>
        <v>0</v>
      </c>
      <c r="D972" t="s">
        <v>314</v>
      </c>
      <c r="E972" t="s">
        <v>584</v>
      </c>
      <c r="F972" s="7" t="s">
        <v>78</v>
      </c>
      <c r="G972" s="6" t="s">
        <v>681</v>
      </c>
      <c r="H972" s="2" t="s">
        <v>681</v>
      </c>
      <c r="I972" s="1">
        <v>30</v>
      </c>
      <c r="J972" s="1">
        <v>5</v>
      </c>
      <c r="L972" s="45">
        <f t="shared" si="81"/>
        <v>46002</v>
      </c>
      <c r="M972" s="46">
        <f t="shared" si="77"/>
        <v>46002</v>
      </c>
      <c r="Q972" s="43">
        <f t="shared" si="78"/>
        <v>0</v>
      </c>
      <c r="R972" s="43">
        <f t="shared" ca="1" si="79"/>
        <v>0</v>
      </c>
      <c r="S972" s="22"/>
      <c r="T972" s="25">
        <v>45972</v>
      </c>
    </row>
    <row r="973" spans="1:20" x14ac:dyDescent="0.3">
      <c r="A973" s="13">
        <v>970</v>
      </c>
      <c r="B973" s="1" t="s">
        <v>714</v>
      </c>
      <c r="C973" s="39">
        <f t="shared" ca="1" si="80"/>
        <v>0</v>
      </c>
      <c r="D973" t="s">
        <v>314</v>
      </c>
      <c r="E973" t="s">
        <v>599</v>
      </c>
      <c r="F973" s="7" t="s">
        <v>78</v>
      </c>
      <c r="G973" s="6" t="s">
        <v>681</v>
      </c>
      <c r="H973" s="2" t="s">
        <v>681</v>
      </c>
      <c r="I973" s="1">
        <v>30</v>
      </c>
      <c r="J973" s="1">
        <v>5</v>
      </c>
      <c r="L973" s="45">
        <f t="shared" si="81"/>
        <v>46003</v>
      </c>
      <c r="M973" s="46">
        <f t="shared" si="77"/>
        <v>46003</v>
      </c>
      <c r="Q973" s="43">
        <f t="shared" si="78"/>
        <v>0</v>
      </c>
      <c r="R973" s="43">
        <f t="shared" ca="1" si="79"/>
        <v>0</v>
      </c>
      <c r="S973" s="22"/>
      <c r="T973" s="25">
        <v>45973</v>
      </c>
    </row>
    <row r="974" spans="1:20" x14ac:dyDescent="0.3">
      <c r="A974" s="13">
        <v>971</v>
      </c>
      <c r="B974" s="1" t="s">
        <v>714</v>
      </c>
      <c r="C974" s="39">
        <f t="shared" ca="1" si="80"/>
        <v>0</v>
      </c>
      <c r="D974" t="s">
        <v>314</v>
      </c>
      <c r="E974" t="s">
        <v>600</v>
      </c>
      <c r="F974" s="7" t="s">
        <v>78</v>
      </c>
      <c r="G974" s="6" t="s">
        <v>681</v>
      </c>
      <c r="H974" s="2" t="s">
        <v>681</v>
      </c>
      <c r="I974" s="1">
        <v>30</v>
      </c>
      <c r="J974" s="1">
        <v>5</v>
      </c>
      <c r="L974" s="45">
        <f t="shared" si="81"/>
        <v>46004</v>
      </c>
      <c r="M974" s="46">
        <f t="shared" si="77"/>
        <v>46004</v>
      </c>
      <c r="Q974" s="43">
        <f t="shared" si="78"/>
        <v>0</v>
      </c>
      <c r="R974" s="43">
        <f t="shared" ca="1" si="79"/>
        <v>0</v>
      </c>
      <c r="S974" s="22"/>
      <c r="T974" s="25">
        <v>45974</v>
      </c>
    </row>
    <row r="975" spans="1:20" x14ac:dyDescent="0.3">
      <c r="A975" s="13">
        <v>972</v>
      </c>
      <c r="B975" s="1" t="s">
        <v>714</v>
      </c>
      <c r="C975" s="39">
        <f t="shared" ca="1" si="80"/>
        <v>0</v>
      </c>
      <c r="D975" t="s">
        <v>315</v>
      </c>
      <c r="E975" t="s">
        <v>601</v>
      </c>
      <c r="F975" s="7" t="s">
        <v>78</v>
      </c>
      <c r="G975" s="6" t="s">
        <v>681</v>
      </c>
      <c r="H975" s="2" t="s">
        <v>681</v>
      </c>
      <c r="I975" s="1">
        <v>30</v>
      </c>
      <c r="J975" s="1">
        <v>5</v>
      </c>
      <c r="L975" s="45">
        <f t="shared" si="81"/>
        <v>46005</v>
      </c>
      <c r="M975" s="46">
        <f t="shared" si="77"/>
        <v>46005</v>
      </c>
      <c r="Q975" s="43">
        <f t="shared" si="78"/>
        <v>0</v>
      </c>
      <c r="R975" s="43">
        <f t="shared" ca="1" si="79"/>
        <v>0</v>
      </c>
      <c r="S975" s="22"/>
      <c r="T975" s="25">
        <v>45975</v>
      </c>
    </row>
    <row r="976" spans="1:20" x14ac:dyDescent="0.3">
      <c r="A976" s="13">
        <v>973</v>
      </c>
      <c r="B976" s="1" t="s">
        <v>714</v>
      </c>
      <c r="C976" s="39">
        <f t="shared" ca="1" si="80"/>
        <v>0</v>
      </c>
      <c r="D976" t="s">
        <v>315</v>
      </c>
      <c r="E976" t="s">
        <v>602</v>
      </c>
      <c r="F976" s="7" t="s">
        <v>78</v>
      </c>
      <c r="G976" s="6" t="s">
        <v>681</v>
      </c>
      <c r="H976" s="2" t="s">
        <v>681</v>
      </c>
      <c r="I976" s="1">
        <v>30</v>
      </c>
      <c r="J976" s="1">
        <v>5</v>
      </c>
      <c r="L976" s="45">
        <f t="shared" si="81"/>
        <v>46006</v>
      </c>
      <c r="M976" s="46">
        <f t="shared" si="77"/>
        <v>46006</v>
      </c>
      <c r="Q976" s="43">
        <f t="shared" si="78"/>
        <v>0</v>
      </c>
      <c r="R976" s="43">
        <f t="shared" ca="1" si="79"/>
        <v>0</v>
      </c>
      <c r="S976" s="22"/>
      <c r="T976" s="25">
        <v>45976</v>
      </c>
    </row>
    <row r="977" spans="1:20" x14ac:dyDescent="0.3">
      <c r="A977" s="13">
        <v>974</v>
      </c>
      <c r="B977" s="1" t="s">
        <v>714</v>
      </c>
      <c r="C977" s="39">
        <f t="shared" ca="1" si="80"/>
        <v>0</v>
      </c>
      <c r="D977" t="s">
        <v>315</v>
      </c>
      <c r="E977" t="s">
        <v>603</v>
      </c>
      <c r="F977" s="7" t="s">
        <v>78</v>
      </c>
      <c r="G977" s="6" t="s">
        <v>681</v>
      </c>
      <c r="H977" s="2" t="s">
        <v>681</v>
      </c>
      <c r="I977" s="1">
        <v>30</v>
      </c>
      <c r="J977" s="1">
        <v>5</v>
      </c>
      <c r="L977" s="45">
        <f t="shared" si="81"/>
        <v>46007</v>
      </c>
      <c r="M977" s="46">
        <f t="shared" si="77"/>
        <v>46007</v>
      </c>
      <c r="Q977" s="43">
        <f t="shared" si="78"/>
        <v>0</v>
      </c>
      <c r="R977" s="43">
        <f t="shared" ca="1" si="79"/>
        <v>0</v>
      </c>
      <c r="S977" s="22"/>
      <c r="T977" s="25">
        <v>45977</v>
      </c>
    </row>
    <row r="978" spans="1:20" x14ac:dyDescent="0.3">
      <c r="A978" s="13">
        <v>975</v>
      </c>
      <c r="B978" s="1" t="s">
        <v>714</v>
      </c>
      <c r="C978" s="39">
        <f t="shared" ca="1" si="80"/>
        <v>0</v>
      </c>
      <c r="D978" t="s">
        <v>315</v>
      </c>
      <c r="E978" t="s">
        <v>604</v>
      </c>
      <c r="F978" s="7" t="s">
        <v>78</v>
      </c>
      <c r="G978" s="6" t="s">
        <v>681</v>
      </c>
      <c r="H978" s="2" t="s">
        <v>681</v>
      </c>
      <c r="I978" s="1">
        <v>30</v>
      </c>
      <c r="J978" s="1">
        <v>5</v>
      </c>
      <c r="L978" s="45">
        <f t="shared" si="81"/>
        <v>46008</v>
      </c>
      <c r="M978" s="46">
        <f t="shared" si="77"/>
        <v>46008</v>
      </c>
      <c r="Q978" s="43">
        <f t="shared" si="78"/>
        <v>0</v>
      </c>
      <c r="R978" s="43">
        <f t="shared" ca="1" si="79"/>
        <v>0</v>
      </c>
      <c r="S978" s="22"/>
      <c r="T978" s="25">
        <v>45978</v>
      </c>
    </row>
    <row r="979" spans="1:20" x14ac:dyDescent="0.3">
      <c r="A979" s="13">
        <v>976</v>
      </c>
      <c r="B979" s="1" t="s">
        <v>714</v>
      </c>
      <c r="C979" s="39">
        <f t="shared" ca="1" si="80"/>
        <v>0</v>
      </c>
      <c r="D979" t="s">
        <v>315</v>
      </c>
      <c r="E979" t="s">
        <v>584</v>
      </c>
      <c r="F979" s="7" t="s">
        <v>78</v>
      </c>
      <c r="G979" s="6" t="s">
        <v>681</v>
      </c>
      <c r="H979" s="2" t="s">
        <v>681</v>
      </c>
      <c r="I979" s="1">
        <v>30</v>
      </c>
      <c r="J979" s="1">
        <v>5</v>
      </c>
      <c r="L979" s="45">
        <f t="shared" si="81"/>
        <v>46009</v>
      </c>
      <c r="M979" s="46">
        <f t="shared" si="77"/>
        <v>46009</v>
      </c>
      <c r="Q979" s="43">
        <f t="shared" si="78"/>
        <v>0</v>
      </c>
      <c r="R979" s="43">
        <f t="shared" ca="1" si="79"/>
        <v>0</v>
      </c>
      <c r="S979" s="22"/>
      <c r="T979" s="25">
        <v>45979</v>
      </c>
    </row>
    <row r="980" spans="1:20" x14ac:dyDescent="0.3">
      <c r="A980" s="13">
        <v>977</v>
      </c>
      <c r="B980" s="1" t="s">
        <v>714</v>
      </c>
      <c r="C980" s="39">
        <f t="shared" ca="1" si="80"/>
        <v>0</v>
      </c>
      <c r="D980" t="s">
        <v>315</v>
      </c>
      <c r="E980" t="s">
        <v>584</v>
      </c>
      <c r="F980" s="7" t="s">
        <v>78</v>
      </c>
      <c r="G980" s="6" t="s">
        <v>681</v>
      </c>
      <c r="H980" s="2" t="s">
        <v>681</v>
      </c>
      <c r="I980" s="1">
        <v>30</v>
      </c>
      <c r="J980" s="1">
        <v>5</v>
      </c>
      <c r="L980" s="45">
        <f t="shared" si="81"/>
        <v>46010</v>
      </c>
      <c r="M980" s="46">
        <f t="shared" si="77"/>
        <v>46010</v>
      </c>
      <c r="Q980" s="43">
        <f t="shared" si="78"/>
        <v>0</v>
      </c>
      <c r="R980" s="43">
        <f t="shared" ca="1" si="79"/>
        <v>0</v>
      </c>
      <c r="S980" s="22"/>
      <c r="T980" s="25">
        <v>45980</v>
      </c>
    </row>
    <row r="981" spans="1:20" x14ac:dyDescent="0.3">
      <c r="A981" s="13">
        <v>978</v>
      </c>
      <c r="B981" s="1" t="s">
        <v>714</v>
      </c>
      <c r="C981" s="39">
        <f t="shared" ca="1" si="80"/>
        <v>0</v>
      </c>
      <c r="D981" t="s">
        <v>315</v>
      </c>
      <c r="E981" t="s">
        <v>599</v>
      </c>
      <c r="F981" s="7" t="s">
        <v>78</v>
      </c>
      <c r="G981" s="6" t="s">
        <v>681</v>
      </c>
      <c r="H981" s="2" t="s">
        <v>681</v>
      </c>
      <c r="I981" s="1">
        <v>30</v>
      </c>
      <c r="J981" s="1">
        <v>5</v>
      </c>
      <c r="L981" s="45">
        <f t="shared" si="81"/>
        <v>46011</v>
      </c>
      <c r="M981" s="46">
        <f t="shared" si="77"/>
        <v>46011</v>
      </c>
      <c r="Q981" s="43">
        <f t="shared" si="78"/>
        <v>0</v>
      </c>
      <c r="R981" s="43">
        <f t="shared" ca="1" si="79"/>
        <v>0</v>
      </c>
      <c r="S981" s="22"/>
      <c r="T981" s="25">
        <v>45981</v>
      </c>
    </row>
    <row r="982" spans="1:20" x14ac:dyDescent="0.3">
      <c r="A982" s="13">
        <v>979</v>
      </c>
      <c r="B982" s="1" t="s">
        <v>714</v>
      </c>
      <c r="C982" s="39">
        <f t="shared" ca="1" si="80"/>
        <v>0</v>
      </c>
      <c r="D982" t="s">
        <v>315</v>
      </c>
      <c r="E982" t="s">
        <v>600</v>
      </c>
      <c r="F982" s="7" t="s">
        <v>78</v>
      </c>
      <c r="G982" s="6" t="s">
        <v>681</v>
      </c>
      <c r="H982" s="2" t="s">
        <v>681</v>
      </c>
      <c r="I982" s="1">
        <v>30</v>
      </c>
      <c r="J982" s="1">
        <v>5</v>
      </c>
      <c r="L982" s="45">
        <f t="shared" si="81"/>
        <v>46012</v>
      </c>
      <c r="M982" s="46">
        <f t="shared" si="77"/>
        <v>46012</v>
      </c>
      <c r="Q982" s="43">
        <f t="shared" si="78"/>
        <v>0</v>
      </c>
      <c r="R982" s="43">
        <f t="shared" ca="1" si="79"/>
        <v>0</v>
      </c>
      <c r="S982" s="22"/>
      <c r="T982" s="25">
        <v>45982</v>
      </c>
    </row>
    <row r="983" spans="1:20" x14ac:dyDescent="0.3">
      <c r="A983" s="13">
        <v>980</v>
      </c>
      <c r="B983" s="1" t="s">
        <v>714</v>
      </c>
      <c r="C983" s="39">
        <f t="shared" ca="1" si="80"/>
        <v>0</v>
      </c>
      <c r="D983" t="s">
        <v>316</v>
      </c>
      <c r="E983" t="s">
        <v>605</v>
      </c>
      <c r="F983" s="7" t="s">
        <v>78</v>
      </c>
      <c r="G983" s="6" t="s">
        <v>681</v>
      </c>
      <c r="H983" s="2" t="s">
        <v>681</v>
      </c>
      <c r="I983" s="1">
        <v>30</v>
      </c>
      <c r="J983" s="1">
        <v>5</v>
      </c>
      <c r="L983" s="45">
        <f t="shared" si="81"/>
        <v>46013</v>
      </c>
      <c r="M983" s="46">
        <f t="shared" si="77"/>
        <v>46013</v>
      </c>
      <c r="Q983" s="43">
        <f t="shared" si="78"/>
        <v>0</v>
      </c>
      <c r="R983" s="43">
        <f t="shared" ca="1" si="79"/>
        <v>0</v>
      </c>
      <c r="S983" s="22"/>
      <c r="T983" s="25">
        <v>45983</v>
      </c>
    </row>
    <row r="984" spans="1:20" x14ac:dyDescent="0.3">
      <c r="A984" s="13">
        <v>981</v>
      </c>
      <c r="B984" s="1" t="s">
        <v>714</v>
      </c>
      <c r="C984" s="39">
        <f t="shared" ca="1" si="80"/>
        <v>0</v>
      </c>
      <c r="D984" t="s">
        <v>316</v>
      </c>
      <c r="E984" t="s">
        <v>606</v>
      </c>
      <c r="F984" s="7" t="s">
        <v>78</v>
      </c>
      <c r="G984" s="6" t="s">
        <v>681</v>
      </c>
      <c r="H984" s="2" t="s">
        <v>681</v>
      </c>
      <c r="I984" s="1">
        <v>30</v>
      </c>
      <c r="J984" s="1">
        <v>5</v>
      </c>
      <c r="L984" s="45">
        <f t="shared" si="81"/>
        <v>46014</v>
      </c>
      <c r="M984" s="46">
        <f t="shared" si="77"/>
        <v>46014</v>
      </c>
      <c r="Q984" s="43">
        <f t="shared" si="78"/>
        <v>0</v>
      </c>
      <c r="R984" s="43">
        <f t="shared" ca="1" si="79"/>
        <v>0</v>
      </c>
      <c r="S984" s="22"/>
      <c r="T984" s="25">
        <v>45984</v>
      </c>
    </row>
    <row r="985" spans="1:20" x14ac:dyDescent="0.3">
      <c r="A985" s="13">
        <v>982</v>
      </c>
      <c r="B985" s="1" t="s">
        <v>714</v>
      </c>
      <c r="C985" s="39">
        <f t="shared" ca="1" si="80"/>
        <v>0</v>
      </c>
      <c r="D985" t="s">
        <v>316</v>
      </c>
      <c r="E985" t="s">
        <v>607</v>
      </c>
      <c r="F985" s="7" t="s">
        <v>78</v>
      </c>
      <c r="G985" s="6" t="s">
        <v>681</v>
      </c>
      <c r="H985" s="2" t="s">
        <v>681</v>
      </c>
      <c r="I985" s="1">
        <v>30</v>
      </c>
      <c r="J985" s="1">
        <v>5</v>
      </c>
      <c r="L985" s="45">
        <f t="shared" si="81"/>
        <v>46015</v>
      </c>
      <c r="M985" s="46">
        <f t="shared" si="77"/>
        <v>46015</v>
      </c>
      <c r="Q985" s="43">
        <f t="shared" si="78"/>
        <v>0</v>
      </c>
      <c r="R985" s="43">
        <f t="shared" ca="1" si="79"/>
        <v>0</v>
      </c>
      <c r="S985" s="22"/>
      <c r="T985" s="25">
        <v>45985</v>
      </c>
    </row>
    <row r="986" spans="1:20" x14ac:dyDescent="0.3">
      <c r="A986" s="13">
        <v>983</v>
      </c>
      <c r="B986" s="1" t="s">
        <v>714</v>
      </c>
      <c r="C986" s="39">
        <f t="shared" ca="1" si="80"/>
        <v>0</v>
      </c>
      <c r="D986" t="s">
        <v>316</v>
      </c>
      <c r="E986" t="s">
        <v>608</v>
      </c>
      <c r="F986" s="7" t="s">
        <v>78</v>
      </c>
      <c r="G986" s="6" t="s">
        <v>681</v>
      </c>
      <c r="H986" s="2" t="s">
        <v>681</v>
      </c>
      <c r="I986" s="1">
        <v>30</v>
      </c>
      <c r="J986" s="1">
        <v>5</v>
      </c>
      <c r="L986" s="45">
        <f t="shared" si="81"/>
        <v>46016</v>
      </c>
      <c r="M986" s="46">
        <f t="shared" si="77"/>
        <v>46016</v>
      </c>
      <c r="Q986" s="43">
        <f t="shared" si="78"/>
        <v>0</v>
      </c>
      <c r="R986" s="43">
        <f t="shared" ca="1" si="79"/>
        <v>0</v>
      </c>
      <c r="S986" s="22"/>
      <c r="T986" s="25">
        <v>45986</v>
      </c>
    </row>
    <row r="987" spans="1:20" x14ac:dyDescent="0.3">
      <c r="A987" s="13">
        <v>984</v>
      </c>
      <c r="B987" s="1" t="s">
        <v>714</v>
      </c>
      <c r="C987" s="39">
        <f t="shared" ca="1" si="80"/>
        <v>0</v>
      </c>
      <c r="D987" t="s">
        <v>316</v>
      </c>
      <c r="E987" t="s">
        <v>584</v>
      </c>
      <c r="F987" s="7" t="s">
        <v>78</v>
      </c>
      <c r="G987" s="6" t="s">
        <v>681</v>
      </c>
      <c r="H987" s="2" t="s">
        <v>681</v>
      </c>
      <c r="I987" s="1">
        <v>30</v>
      </c>
      <c r="J987" s="1">
        <v>5</v>
      </c>
      <c r="L987" s="45">
        <f t="shared" si="81"/>
        <v>46017</v>
      </c>
      <c r="M987" s="46">
        <f t="shared" si="77"/>
        <v>46017</v>
      </c>
      <c r="Q987" s="43">
        <f t="shared" si="78"/>
        <v>0</v>
      </c>
      <c r="R987" s="43">
        <f t="shared" ca="1" si="79"/>
        <v>0</v>
      </c>
      <c r="S987" s="22"/>
      <c r="T987" s="25">
        <v>45987</v>
      </c>
    </row>
    <row r="988" spans="1:20" x14ac:dyDescent="0.3">
      <c r="A988" s="13">
        <v>985</v>
      </c>
      <c r="B988" s="1" t="s">
        <v>714</v>
      </c>
      <c r="C988" s="39">
        <f t="shared" ca="1" si="80"/>
        <v>0</v>
      </c>
      <c r="D988" t="s">
        <v>316</v>
      </c>
      <c r="E988" t="s">
        <v>584</v>
      </c>
      <c r="F988" s="7" t="s">
        <v>78</v>
      </c>
      <c r="G988" s="6" t="s">
        <v>681</v>
      </c>
      <c r="H988" s="2" t="s">
        <v>681</v>
      </c>
      <c r="I988" s="1">
        <v>30</v>
      </c>
      <c r="J988" s="1">
        <v>5</v>
      </c>
      <c r="L988" s="45">
        <f t="shared" si="81"/>
        <v>46018</v>
      </c>
      <c r="M988" s="46">
        <f t="shared" si="77"/>
        <v>46018</v>
      </c>
      <c r="Q988" s="43">
        <f t="shared" si="78"/>
        <v>0</v>
      </c>
      <c r="R988" s="43">
        <f t="shared" ca="1" si="79"/>
        <v>0</v>
      </c>
      <c r="S988" s="22"/>
      <c r="T988" s="25">
        <v>45988</v>
      </c>
    </row>
    <row r="989" spans="1:20" x14ac:dyDescent="0.3">
      <c r="A989" s="13">
        <v>986</v>
      </c>
      <c r="B989" s="1" t="s">
        <v>714</v>
      </c>
      <c r="C989" s="39">
        <f t="shared" ca="1" si="80"/>
        <v>0</v>
      </c>
      <c r="D989" t="s">
        <v>316</v>
      </c>
      <c r="E989" t="s">
        <v>609</v>
      </c>
      <c r="F989" s="7" t="s">
        <v>78</v>
      </c>
      <c r="G989" s="6" t="s">
        <v>681</v>
      </c>
      <c r="H989" s="2" t="s">
        <v>681</v>
      </c>
      <c r="I989" s="1">
        <v>30</v>
      </c>
      <c r="J989" s="1">
        <v>5</v>
      </c>
      <c r="L989" s="45">
        <f t="shared" si="81"/>
        <v>46019</v>
      </c>
      <c r="M989" s="46">
        <f t="shared" si="77"/>
        <v>46019</v>
      </c>
      <c r="Q989" s="43">
        <f t="shared" si="78"/>
        <v>0</v>
      </c>
      <c r="R989" s="43">
        <f t="shared" ca="1" si="79"/>
        <v>0</v>
      </c>
      <c r="S989" s="22"/>
      <c r="T989" s="25">
        <v>45989</v>
      </c>
    </row>
    <row r="990" spans="1:20" x14ac:dyDescent="0.3">
      <c r="A990" s="13">
        <v>987</v>
      </c>
      <c r="B990" s="1" t="s">
        <v>714</v>
      </c>
      <c r="C990" s="39">
        <f t="shared" ca="1" si="80"/>
        <v>0</v>
      </c>
      <c r="D990" t="s">
        <v>316</v>
      </c>
      <c r="E990" t="s">
        <v>610</v>
      </c>
      <c r="F990" s="7" t="s">
        <v>78</v>
      </c>
      <c r="G990" s="6" t="s">
        <v>681</v>
      </c>
      <c r="H990" s="2" t="s">
        <v>681</v>
      </c>
      <c r="I990" s="1">
        <v>30</v>
      </c>
      <c r="J990" s="1">
        <v>5</v>
      </c>
      <c r="L990" s="45">
        <f t="shared" si="81"/>
        <v>46020</v>
      </c>
      <c r="M990" s="46">
        <f t="shared" si="77"/>
        <v>46020</v>
      </c>
      <c r="Q990" s="43">
        <f t="shared" si="78"/>
        <v>0</v>
      </c>
      <c r="R990" s="43">
        <f t="shared" ca="1" si="79"/>
        <v>0</v>
      </c>
      <c r="S990" s="22"/>
      <c r="T990" s="25">
        <v>45990</v>
      </c>
    </row>
    <row r="991" spans="1:20" x14ac:dyDescent="0.3">
      <c r="A991" s="13">
        <v>988</v>
      </c>
      <c r="B991" s="1" t="s">
        <v>714</v>
      </c>
      <c r="C991" s="39">
        <f t="shared" ca="1" si="80"/>
        <v>0</v>
      </c>
      <c r="D991" t="s">
        <v>316</v>
      </c>
      <c r="E991" t="s">
        <v>611</v>
      </c>
      <c r="F991" s="7" t="s">
        <v>78</v>
      </c>
      <c r="G991" s="6" t="s">
        <v>681</v>
      </c>
      <c r="H991" s="2" t="s">
        <v>681</v>
      </c>
      <c r="I991" s="1">
        <v>30</v>
      </c>
      <c r="J991" s="1">
        <v>5</v>
      </c>
      <c r="L991" s="45">
        <f t="shared" si="81"/>
        <v>46021</v>
      </c>
      <c r="M991" s="46">
        <f t="shared" si="77"/>
        <v>46021</v>
      </c>
      <c r="Q991" s="43">
        <f t="shared" si="78"/>
        <v>0</v>
      </c>
      <c r="R991" s="43">
        <f t="shared" ca="1" si="79"/>
        <v>0</v>
      </c>
      <c r="S991" s="22"/>
      <c r="T991" s="25">
        <v>45991</v>
      </c>
    </row>
    <row r="992" spans="1:20" x14ac:dyDescent="0.3">
      <c r="A992" s="13">
        <v>989</v>
      </c>
      <c r="B992" s="1" t="s">
        <v>714</v>
      </c>
      <c r="C992" s="39">
        <f t="shared" ca="1" si="80"/>
        <v>0</v>
      </c>
      <c r="D992" t="s">
        <v>316</v>
      </c>
      <c r="E992" t="s">
        <v>612</v>
      </c>
      <c r="F992" s="7" t="s">
        <v>78</v>
      </c>
      <c r="G992" s="6" t="s">
        <v>681</v>
      </c>
      <c r="H992" s="2" t="s">
        <v>681</v>
      </c>
      <c r="I992" s="1">
        <v>30</v>
      </c>
      <c r="J992" s="1">
        <v>5</v>
      </c>
      <c r="L992" s="45">
        <f t="shared" si="81"/>
        <v>46022</v>
      </c>
      <c r="M992" s="46">
        <f t="shared" si="77"/>
        <v>46022</v>
      </c>
      <c r="Q992" s="43">
        <f t="shared" si="78"/>
        <v>0</v>
      </c>
      <c r="R992" s="43">
        <f t="shared" ca="1" si="79"/>
        <v>0</v>
      </c>
      <c r="S992" s="22"/>
      <c r="T992" s="25">
        <v>45992</v>
      </c>
    </row>
    <row r="993" spans="1:20" x14ac:dyDescent="0.3">
      <c r="A993" s="13">
        <v>990</v>
      </c>
      <c r="B993" s="1" t="s">
        <v>714</v>
      </c>
      <c r="C993" s="39">
        <f t="shared" ca="1" si="80"/>
        <v>0</v>
      </c>
      <c r="D993" t="s">
        <v>316</v>
      </c>
      <c r="E993" t="s">
        <v>613</v>
      </c>
      <c r="F993" s="7" t="s">
        <v>78</v>
      </c>
      <c r="G993" s="6" t="s">
        <v>681</v>
      </c>
      <c r="H993" s="2" t="s">
        <v>681</v>
      </c>
      <c r="I993" s="1">
        <v>30</v>
      </c>
      <c r="J993" s="1">
        <v>5</v>
      </c>
      <c r="L993" s="45">
        <f t="shared" si="81"/>
        <v>46023</v>
      </c>
      <c r="M993" s="46">
        <f t="shared" ref="M993:M1056" si="82">T993+I993</f>
        <v>46023</v>
      </c>
      <c r="Q993" s="43">
        <f t="shared" ref="Q993:Q1056" si="83">IF(O993&lt;&gt;0,1,0)</f>
        <v>0</v>
      </c>
      <c r="R993" s="43">
        <f t="shared" ref="R993:R1056" ca="1" si="84">IF(AND(L993&lt;($A$2+7), L993&gt;($A$2+6)),1,0)</f>
        <v>0</v>
      </c>
      <c r="S993" s="22"/>
      <c r="T993" s="25">
        <v>45993</v>
      </c>
    </row>
    <row r="994" spans="1:20" x14ac:dyDescent="0.3">
      <c r="A994" s="13">
        <v>991</v>
      </c>
      <c r="B994" s="1" t="s">
        <v>714</v>
      </c>
      <c r="C994" s="39">
        <f t="shared" ca="1" si="80"/>
        <v>0</v>
      </c>
      <c r="D994" t="s">
        <v>317</v>
      </c>
      <c r="E994" t="s">
        <v>614</v>
      </c>
      <c r="F994" s="7" t="s">
        <v>78</v>
      </c>
      <c r="G994" s="6" t="s">
        <v>681</v>
      </c>
      <c r="H994" s="2" t="s">
        <v>681</v>
      </c>
      <c r="I994" s="1">
        <v>30</v>
      </c>
      <c r="J994" s="1">
        <v>5</v>
      </c>
      <c r="L994" s="45">
        <f t="shared" si="81"/>
        <v>46024</v>
      </c>
      <c r="M994" s="46">
        <f t="shared" si="82"/>
        <v>46024</v>
      </c>
      <c r="Q994" s="43">
        <f t="shared" si="83"/>
        <v>0</v>
      </c>
      <c r="R994" s="43">
        <f t="shared" ca="1" si="84"/>
        <v>0</v>
      </c>
      <c r="S994" s="22"/>
      <c r="T994" s="25">
        <v>45994</v>
      </c>
    </row>
    <row r="995" spans="1:20" x14ac:dyDescent="0.3">
      <c r="A995" s="13">
        <v>992</v>
      </c>
      <c r="B995" s="1" t="s">
        <v>714</v>
      </c>
      <c r="C995" s="39">
        <f t="shared" ca="1" si="80"/>
        <v>0</v>
      </c>
      <c r="D995" t="s">
        <v>317</v>
      </c>
      <c r="E995" t="s">
        <v>188</v>
      </c>
      <c r="F995" s="7" t="s">
        <v>78</v>
      </c>
      <c r="G995" s="6" t="s">
        <v>681</v>
      </c>
      <c r="H995" s="2" t="s">
        <v>681</v>
      </c>
      <c r="I995" s="1">
        <v>30</v>
      </c>
      <c r="J995" s="1">
        <v>5</v>
      </c>
      <c r="L995" s="45">
        <f t="shared" si="81"/>
        <v>46025</v>
      </c>
      <c r="M995" s="46">
        <f t="shared" si="82"/>
        <v>46025</v>
      </c>
      <c r="Q995" s="43">
        <f t="shared" si="83"/>
        <v>0</v>
      </c>
      <c r="R995" s="43">
        <f t="shared" ca="1" si="84"/>
        <v>0</v>
      </c>
      <c r="S995" s="22"/>
      <c r="T995" s="25">
        <v>45995</v>
      </c>
    </row>
    <row r="996" spans="1:20" x14ac:dyDescent="0.3">
      <c r="A996" s="13">
        <v>993</v>
      </c>
      <c r="B996" s="1" t="s">
        <v>714</v>
      </c>
      <c r="C996" s="39">
        <f t="shared" ca="1" si="80"/>
        <v>0</v>
      </c>
      <c r="D996" t="s">
        <v>317</v>
      </c>
      <c r="E996" t="s">
        <v>570</v>
      </c>
      <c r="F996" s="7" t="s">
        <v>78</v>
      </c>
      <c r="G996" s="6" t="s">
        <v>681</v>
      </c>
      <c r="H996" s="2" t="s">
        <v>681</v>
      </c>
      <c r="I996" s="1">
        <v>180</v>
      </c>
      <c r="J996" s="1">
        <v>5</v>
      </c>
      <c r="L996" s="45">
        <f t="shared" si="81"/>
        <v>46176</v>
      </c>
      <c r="M996" s="46">
        <f t="shared" si="82"/>
        <v>46176</v>
      </c>
      <c r="Q996" s="43">
        <f t="shared" si="83"/>
        <v>0</v>
      </c>
      <c r="R996" s="43">
        <f t="shared" ca="1" si="84"/>
        <v>0</v>
      </c>
      <c r="S996" s="22"/>
      <c r="T996" s="25">
        <v>45996</v>
      </c>
    </row>
    <row r="997" spans="1:20" x14ac:dyDescent="0.3">
      <c r="A997" s="13">
        <v>994</v>
      </c>
      <c r="B997" s="1" t="s">
        <v>714</v>
      </c>
      <c r="C997" s="39">
        <f t="shared" ca="1" si="80"/>
        <v>0</v>
      </c>
      <c r="D997" t="s">
        <v>318</v>
      </c>
      <c r="E997" t="s">
        <v>416</v>
      </c>
      <c r="F997" s="7" t="s">
        <v>78</v>
      </c>
      <c r="G997" s="6" t="s">
        <v>681</v>
      </c>
      <c r="H997" s="2" t="s">
        <v>681</v>
      </c>
      <c r="I997" s="1">
        <v>30</v>
      </c>
      <c r="J997" s="1">
        <v>10</v>
      </c>
      <c r="L997" s="45">
        <f t="shared" si="81"/>
        <v>46027</v>
      </c>
      <c r="M997" s="46">
        <f t="shared" si="82"/>
        <v>46027</v>
      </c>
      <c r="Q997" s="43">
        <f t="shared" si="83"/>
        <v>0</v>
      </c>
      <c r="R997" s="43">
        <f t="shared" ca="1" si="84"/>
        <v>0</v>
      </c>
      <c r="S997" s="22"/>
      <c r="T997" s="25">
        <v>45997</v>
      </c>
    </row>
    <row r="998" spans="1:20" x14ac:dyDescent="0.3">
      <c r="A998" s="13">
        <v>995</v>
      </c>
      <c r="B998" s="1" t="s">
        <v>714</v>
      </c>
      <c r="C998" s="39">
        <f t="shared" ca="1" si="80"/>
        <v>0</v>
      </c>
      <c r="D998" t="s">
        <v>318</v>
      </c>
      <c r="E998" t="s">
        <v>531</v>
      </c>
      <c r="F998" s="7" t="s">
        <v>78</v>
      </c>
      <c r="G998" s="6" t="s">
        <v>681</v>
      </c>
      <c r="H998" s="2" t="s">
        <v>681</v>
      </c>
      <c r="I998" s="1">
        <v>30</v>
      </c>
      <c r="J998" s="1">
        <v>5</v>
      </c>
      <c r="L998" s="45">
        <f t="shared" si="81"/>
        <v>46028</v>
      </c>
      <c r="M998" s="46">
        <f t="shared" si="82"/>
        <v>46028</v>
      </c>
      <c r="Q998" s="43">
        <f t="shared" si="83"/>
        <v>0</v>
      </c>
      <c r="R998" s="43">
        <f t="shared" ca="1" si="84"/>
        <v>0</v>
      </c>
      <c r="S998" s="22"/>
      <c r="T998" s="25">
        <v>45998</v>
      </c>
    </row>
    <row r="999" spans="1:20" x14ac:dyDescent="0.3">
      <c r="A999" s="13">
        <v>996</v>
      </c>
      <c r="B999" s="1" t="s">
        <v>714</v>
      </c>
      <c r="C999" s="39">
        <f t="shared" ca="1" si="80"/>
        <v>0</v>
      </c>
      <c r="D999" t="s">
        <v>318</v>
      </c>
      <c r="E999" t="s">
        <v>615</v>
      </c>
      <c r="F999" s="7" t="s">
        <v>78</v>
      </c>
      <c r="G999" s="6" t="s">
        <v>681</v>
      </c>
      <c r="H999" s="2" t="s">
        <v>681</v>
      </c>
      <c r="I999" s="1">
        <v>30</v>
      </c>
      <c r="J999" s="1">
        <v>5</v>
      </c>
      <c r="L999" s="45">
        <f t="shared" si="81"/>
        <v>46029</v>
      </c>
      <c r="M999" s="46">
        <f t="shared" si="82"/>
        <v>46029</v>
      </c>
      <c r="Q999" s="43">
        <f t="shared" si="83"/>
        <v>0</v>
      </c>
      <c r="R999" s="43">
        <f t="shared" ca="1" si="84"/>
        <v>0</v>
      </c>
      <c r="S999" s="22"/>
      <c r="T999" s="25">
        <v>45999</v>
      </c>
    </row>
    <row r="1000" spans="1:20" x14ac:dyDescent="0.3">
      <c r="A1000" s="13">
        <v>997</v>
      </c>
      <c r="B1000" s="1" t="s">
        <v>714</v>
      </c>
      <c r="C1000" s="39">
        <f t="shared" ca="1" si="80"/>
        <v>0</v>
      </c>
      <c r="D1000" t="s">
        <v>318</v>
      </c>
      <c r="E1000" t="s">
        <v>616</v>
      </c>
      <c r="F1000" s="7" t="s">
        <v>78</v>
      </c>
      <c r="G1000" s="6" t="s">
        <v>681</v>
      </c>
      <c r="H1000" s="2" t="s">
        <v>681</v>
      </c>
      <c r="I1000" s="1">
        <v>30</v>
      </c>
      <c r="J1000" s="1">
        <v>5</v>
      </c>
      <c r="L1000" s="45">
        <f t="shared" si="81"/>
        <v>46030</v>
      </c>
      <c r="M1000" s="46">
        <f t="shared" si="82"/>
        <v>46030</v>
      </c>
      <c r="Q1000" s="43">
        <f t="shared" si="83"/>
        <v>0</v>
      </c>
      <c r="R1000" s="43">
        <f t="shared" ca="1" si="84"/>
        <v>0</v>
      </c>
      <c r="S1000" s="22"/>
      <c r="T1000" s="25">
        <v>46000</v>
      </c>
    </row>
    <row r="1001" spans="1:20" x14ac:dyDescent="0.3">
      <c r="A1001" s="13">
        <v>998</v>
      </c>
      <c r="B1001" s="1" t="s">
        <v>714</v>
      </c>
      <c r="C1001" s="39">
        <f t="shared" ca="1" si="80"/>
        <v>0</v>
      </c>
      <c r="D1001" t="s">
        <v>318</v>
      </c>
      <c r="E1001" t="s">
        <v>617</v>
      </c>
      <c r="F1001" s="7" t="s">
        <v>78</v>
      </c>
      <c r="G1001" s="6" t="s">
        <v>681</v>
      </c>
      <c r="H1001" s="2" t="s">
        <v>681</v>
      </c>
      <c r="I1001" s="1">
        <v>30</v>
      </c>
      <c r="J1001" s="1">
        <v>5</v>
      </c>
      <c r="L1001" s="45">
        <f t="shared" si="81"/>
        <v>46031</v>
      </c>
      <c r="M1001" s="46">
        <f t="shared" si="82"/>
        <v>46031</v>
      </c>
      <c r="Q1001" s="43">
        <f t="shared" si="83"/>
        <v>0</v>
      </c>
      <c r="R1001" s="43">
        <f t="shared" ca="1" si="84"/>
        <v>0</v>
      </c>
      <c r="S1001" s="22"/>
      <c r="T1001" s="25">
        <v>46001</v>
      </c>
    </row>
    <row r="1002" spans="1:20" x14ac:dyDescent="0.3">
      <c r="A1002" s="13">
        <v>999</v>
      </c>
      <c r="B1002" s="1" t="s">
        <v>714</v>
      </c>
      <c r="C1002" s="39">
        <f t="shared" ca="1" si="80"/>
        <v>0</v>
      </c>
      <c r="D1002" t="s">
        <v>318</v>
      </c>
      <c r="E1002" t="s">
        <v>618</v>
      </c>
      <c r="F1002" s="7" t="s">
        <v>78</v>
      </c>
      <c r="G1002" s="6" t="s">
        <v>681</v>
      </c>
      <c r="H1002" s="2" t="s">
        <v>681</v>
      </c>
      <c r="I1002" s="1">
        <v>30</v>
      </c>
      <c r="J1002" s="1">
        <v>5</v>
      </c>
      <c r="L1002" s="45">
        <f t="shared" si="81"/>
        <v>46032</v>
      </c>
      <c r="M1002" s="46">
        <f t="shared" si="82"/>
        <v>46032</v>
      </c>
      <c r="Q1002" s="43">
        <f t="shared" si="83"/>
        <v>0</v>
      </c>
      <c r="R1002" s="43">
        <f t="shared" ca="1" si="84"/>
        <v>0</v>
      </c>
      <c r="S1002" s="22"/>
      <c r="T1002" s="25">
        <v>46002</v>
      </c>
    </row>
    <row r="1003" spans="1:20" x14ac:dyDescent="0.3">
      <c r="A1003" s="13">
        <v>1000</v>
      </c>
      <c r="B1003" s="1" t="s">
        <v>714</v>
      </c>
      <c r="C1003" s="39">
        <f t="shared" ca="1" si="80"/>
        <v>0</v>
      </c>
      <c r="D1003" t="s">
        <v>318</v>
      </c>
      <c r="E1003" t="s">
        <v>619</v>
      </c>
      <c r="F1003" s="7" t="s">
        <v>78</v>
      </c>
      <c r="G1003" s="6" t="s">
        <v>681</v>
      </c>
      <c r="H1003" s="2" t="s">
        <v>681</v>
      </c>
      <c r="I1003" s="1">
        <v>30</v>
      </c>
      <c r="J1003" s="1">
        <v>5</v>
      </c>
      <c r="L1003" s="45">
        <f t="shared" si="81"/>
        <v>46033</v>
      </c>
      <c r="M1003" s="46">
        <f t="shared" si="82"/>
        <v>46033</v>
      </c>
      <c r="Q1003" s="43">
        <f t="shared" si="83"/>
        <v>0</v>
      </c>
      <c r="R1003" s="43">
        <f t="shared" ca="1" si="84"/>
        <v>0</v>
      </c>
      <c r="S1003" s="22"/>
      <c r="T1003" s="25">
        <v>46003</v>
      </c>
    </row>
    <row r="1004" spans="1:20" x14ac:dyDescent="0.3">
      <c r="A1004" s="13">
        <v>1001</v>
      </c>
      <c r="B1004" s="1" t="s">
        <v>714</v>
      </c>
      <c r="C1004" s="39">
        <f t="shared" ca="1" si="80"/>
        <v>0</v>
      </c>
      <c r="D1004" t="s">
        <v>318</v>
      </c>
      <c r="E1004" t="s">
        <v>620</v>
      </c>
      <c r="F1004" s="7" t="s">
        <v>78</v>
      </c>
      <c r="G1004" s="6" t="s">
        <v>681</v>
      </c>
      <c r="H1004" s="2" t="s">
        <v>681</v>
      </c>
      <c r="I1004" s="1">
        <v>30</v>
      </c>
      <c r="J1004" s="1">
        <v>5</v>
      </c>
      <c r="L1004" s="45">
        <f t="shared" si="81"/>
        <v>46034</v>
      </c>
      <c r="M1004" s="46">
        <f t="shared" si="82"/>
        <v>46034</v>
      </c>
      <c r="Q1004" s="43">
        <f t="shared" si="83"/>
        <v>0</v>
      </c>
      <c r="R1004" s="43">
        <f t="shared" ca="1" si="84"/>
        <v>0</v>
      </c>
      <c r="S1004" s="22"/>
      <c r="T1004" s="25">
        <v>46004</v>
      </c>
    </row>
    <row r="1005" spans="1:20" x14ac:dyDescent="0.3">
      <c r="A1005" s="13">
        <v>1002</v>
      </c>
      <c r="B1005" s="1" t="s">
        <v>714</v>
      </c>
      <c r="C1005" s="39">
        <f t="shared" ca="1" si="80"/>
        <v>0</v>
      </c>
      <c r="D1005" t="s">
        <v>319</v>
      </c>
      <c r="E1005" t="s">
        <v>621</v>
      </c>
      <c r="F1005" s="7" t="s">
        <v>78</v>
      </c>
      <c r="G1005" s="6" t="s">
        <v>681</v>
      </c>
      <c r="H1005" s="2" t="s">
        <v>681</v>
      </c>
      <c r="I1005" s="1">
        <v>90</v>
      </c>
      <c r="J1005" s="1">
        <v>5</v>
      </c>
      <c r="L1005" s="45">
        <f t="shared" si="81"/>
        <v>46095</v>
      </c>
      <c r="M1005" s="46">
        <f t="shared" si="82"/>
        <v>46095</v>
      </c>
      <c r="Q1005" s="43">
        <f t="shared" si="83"/>
        <v>0</v>
      </c>
      <c r="R1005" s="43">
        <f t="shared" ca="1" si="84"/>
        <v>0</v>
      </c>
      <c r="S1005" s="22"/>
      <c r="T1005" s="25">
        <v>46005</v>
      </c>
    </row>
    <row r="1006" spans="1:20" x14ac:dyDescent="0.3">
      <c r="A1006" s="13">
        <v>1003</v>
      </c>
      <c r="B1006" s="1" t="s">
        <v>714</v>
      </c>
      <c r="C1006" s="39">
        <f t="shared" ca="1" si="80"/>
        <v>0</v>
      </c>
      <c r="D1006" t="s">
        <v>319</v>
      </c>
      <c r="E1006" t="s">
        <v>622</v>
      </c>
      <c r="F1006" s="7" t="s">
        <v>78</v>
      </c>
      <c r="G1006" s="6" t="s">
        <v>681</v>
      </c>
      <c r="H1006" s="2" t="s">
        <v>681</v>
      </c>
      <c r="I1006" s="1">
        <v>90</v>
      </c>
      <c r="J1006" s="1">
        <v>5</v>
      </c>
      <c r="L1006" s="45">
        <f t="shared" si="81"/>
        <v>46096</v>
      </c>
      <c r="M1006" s="46">
        <f t="shared" si="82"/>
        <v>46096</v>
      </c>
      <c r="Q1006" s="43">
        <f t="shared" si="83"/>
        <v>0</v>
      </c>
      <c r="R1006" s="43">
        <f t="shared" ca="1" si="84"/>
        <v>0</v>
      </c>
      <c r="S1006" s="22"/>
      <c r="T1006" s="25">
        <v>46006</v>
      </c>
    </row>
    <row r="1007" spans="1:20" x14ac:dyDescent="0.3">
      <c r="A1007" s="13">
        <v>1004</v>
      </c>
      <c r="B1007" s="1" t="s">
        <v>714</v>
      </c>
      <c r="C1007" s="39">
        <f t="shared" ca="1" si="80"/>
        <v>0</v>
      </c>
      <c r="D1007" t="s">
        <v>319</v>
      </c>
      <c r="E1007" t="s">
        <v>623</v>
      </c>
      <c r="F1007" s="7" t="s">
        <v>78</v>
      </c>
      <c r="G1007" s="6" t="s">
        <v>681</v>
      </c>
      <c r="H1007" s="2" t="s">
        <v>681</v>
      </c>
      <c r="I1007" s="1">
        <v>90</v>
      </c>
      <c r="J1007" s="1">
        <v>5</v>
      </c>
      <c r="L1007" s="45">
        <f t="shared" si="81"/>
        <v>46097</v>
      </c>
      <c r="M1007" s="46">
        <f t="shared" si="82"/>
        <v>46097</v>
      </c>
      <c r="Q1007" s="43">
        <f t="shared" si="83"/>
        <v>0</v>
      </c>
      <c r="R1007" s="43">
        <f t="shared" ca="1" si="84"/>
        <v>0</v>
      </c>
      <c r="S1007" s="22"/>
      <c r="T1007" s="25">
        <v>46007</v>
      </c>
    </row>
    <row r="1008" spans="1:20" x14ac:dyDescent="0.3">
      <c r="A1008" s="13">
        <v>1005</v>
      </c>
      <c r="B1008" s="1" t="s">
        <v>714</v>
      </c>
      <c r="C1008" s="39">
        <f t="shared" ca="1" si="80"/>
        <v>0</v>
      </c>
      <c r="D1008" t="s">
        <v>319</v>
      </c>
      <c r="E1008" t="s">
        <v>624</v>
      </c>
      <c r="F1008" s="7" t="s">
        <v>78</v>
      </c>
      <c r="G1008" s="6" t="s">
        <v>681</v>
      </c>
      <c r="H1008" s="2" t="s">
        <v>681</v>
      </c>
      <c r="I1008" s="1">
        <v>90</v>
      </c>
      <c r="J1008" s="1">
        <v>5</v>
      </c>
      <c r="L1008" s="45">
        <f t="shared" si="81"/>
        <v>46098</v>
      </c>
      <c r="M1008" s="46">
        <f t="shared" si="82"/>
        <v>46098</v>
      </c>
      <c r="Q1008" s="43">
        <f t="shared" si="83"/>
        <v>0</v>
      </c>
      <c r="R1008" s="43">
        <f t="shared" ca="1" si="84"/>
        <v>0</v>
      </c>
      <c r="S1008" s="22"/>
      <c r="T1008" s="25">
        <v>46008</v>
      </c>
    </row>
    <row r="1009" spans="1:20" x14ac:dyDescent="0.3">
      <c r="A1009" s="13">
        <v>1006</v>
      </c>
      <c r="B1009" s="1" t="s">
        <v>714</v>
      </c>
      <c r="C1009" s="39">
        <f t="shared" ca="1" si="80"/>
        <v>0</v>
      </c>
      <c r="D1009" t="s">
        <v>319</v>
      </c>
      <c r="E1009" t="s">
        <v>625</v>
      </c>
      <c r="F1009" s="7" t="s">
        <v>78</v>
      </c>
      <c r="G1009" s="6" t="s">
        <v>681</v>
      </c>
      <c r="H1009" s="2" t="s">
        <v>681</v>
      </c>
      <c r="I1009" s="1">
        <v>90</v>
      </c>
      <c r="J1009" s="1">
        <v>5</v>
      </c>
      <c r="L1009" s="45">
        <f t="shared" si="81"/>
        <v>46099</v>
      </c>
      <c r="M1009" s="46">
        <f t="shared" si="82"/>
        <v>46099</v>
      </c>
      <c r="Q1009" s="43">
        <f t="shared" si="83"/>
        <v>0</v>
      </c>
      <c r="R1009" s="43">
        <f t="shared" ca="1" si="84"/>
        <v>0</v>
      </c>
      <c r="S1009" s="22"/>
      <c r="T1009" s="25">
        <v>46009</v>
      </c>
    </row>
    <row r="1010" spans="1:20" x14ac:dyDescent="0.3">
      <c r="A1010" s="13">
        <v>1007</v>
      </c>
      <c r="B1010" s="1" t="s">
        <v>714</v>
      </c>
      <c r="C1010" s="39">
        <f t="shared" ca="1" si="80"/>
        <v>0</v>
      </c>
      <c r="D1010" t="s">
        <v>319</v>
      </c>
      <c r="E1010" t="s">
        <v>626</v>
      </c>
      <c r="F1010" s="7" t="s">
        <v>78</v>
      </c>
      <c r="G1010" s="6" t="s">
        <v>681</v>
      </c>
      <c r="H1010" s="2" t="s">
        <v>681</v>
      </c>
      <c r="I1010" s="1">
        <v>90</v>
      </c>
      <c r="J1010" s="1">
        <v>5</v>
      </c>
      <c r="L1010" s="45">
        <f t="shared" si="81"/>
        <v>46100</v>
      </c>
      <c r="M1010" s="46">
        <f t="shared" si="82"/>
        <v>46100</v>
      </c>
      <c r="Q1010" s="43">
        <f t="shared" si="83"/>
        <v>0</v>
      </c>
      <c r="R1010" s="43">
        <f t="shared" ca="1" si="84"/>
        <v>0</v>
      </c>
      <c r="S1010" s="22"/>
      <c r="T1010" s="25">
        <v>46010</v>
      </c>
    </row>
    <row r="1011" spans="1:20" x14ac:dyDescent="0.3">
      <c r="A1011" s="13">
        <v>1008</v>
      </c>
      <c r="B1011" s="1" t="s">
        <v>714</v>
      </c>
      <c r="C1011" s="39">
        <f t="shared" ca="1" si="80"/>
        <v>0</v>
      </c>
      <c r="D1011" t="s">
        <v>319</v>
      </c>
      <c r="E1011" t="s">
        <v>627</v>
      </c>
      <c r="F1011" s="7" t="s">
        <v>78</v>
      </c>
      <c r="G1011" s="6" t="s">
        <v>681</v>
      </c>
      <c r="H1011" s="2" t="s">
        <v>681</v>
      </c>
      <c r="I1011" s="1">
        <v>90</v>
      </c>
      <c r="J1011" s="1">
        <v>5</v>
      </c>
      <c r="L1011" s="45">
        <f t="shared" si="81"/>
        <v>46101</v>
      </c>
      <c r="M1011" s="46">
        <f t="shared" si="82"/>
        <v>46101</v>
      </c>
      <c r="Q1011" s="43">
        <f t="shared" si="83"/>
        <v>0</v>
      </c>
      <c r="R1011" s="43">
        <f t="shared" ca="1" si="84"/>
        <v>0</v>
      </c>
      <c r="S1011" s="22"/>
      <c r="T1011" s="25">
        <v>46011</v>
      </c>
    </row>
    <row r="1012" spans="1:20" x14ac:dyDescent="0.3">
      <c r="A1012" s="13">
        <v>1009</v>
      </c>
      <c r="B1012" s="1" t="s">
        <v>714</v>
      </c>
      <c r="C1012" s="39">
        <f t="shared" ca="1" si="80"/>
        <v>0</v>
      </c>
      <c r="D1012" t="s">
        <v>319</v>
      </c>
      <c r="E1012" t="s">
        <v>583</v>
      </c>
      <c r="F1012" s="7" t="s">
        <v>78</v>
      </c>
      <c r="G1012" s="6" t="s">
        <v>681</v>
      </c>
      <c r="H1012" s="2" t="s">
        <v>681</v>
      </c>
      <c r="I1012" s="1">
        <v>90</v>
      </c>
      <c r="J1012" s="1">
        <v>5</v>
      </c>
      <c r="L1012" s="45">
        <f t="shared" si="81"/>
        <v>46102</v>
      </c>
      <c r="M1012" s="46">
        <f t="shared" si="82"/>
        <v>46102</v>
      </c>
      <c r="Q1012" s="43">
        <f t="shared" si="83"/>
        <v>0</v>
      </c>
      <c r="R1012" s="43">
        <f t="shared" ca="1" si="84"/>
        <v>0</v>
      </c>
      <c r="S1012" s="22"/>
      <c r="T1012" s="25">
        <v>46012</v>
      </c>
    </row>
    <row r="1013" spans="1:20" x14ac:dyDescent="0.3">
      <c r="A1013" s="13">
        <v>1010</v>
      </c>
      <c r="B1013" s="1" t="s">
        <v>714</v>
      </c>
      <c r="C1013" s="39">
        <f t="shared" ca="1" si="80"/>
        <v>0</v>
      </c>
      <c r="D1013" t="s">
        <v>319</v>
      </c>
      <c r="E1013" t="s">
        <v>584</v>
      </c>
      <c r="F1013" s="7" t="s">
        <v>78</v>
      </c>
      <c r="G1013" s="6" t="s">
        <v>681</v>
      </c>
      <c r="H1013" s="2" t="s">
        <v>681</v>
      </c>
      <c r="I1013" s="1">
        <v>90</v>
      </c>
      <c r="J1013" s="1">
        <v>5</v>
      </c>
      <c r="L1013" s="45">
        <f t="shared" si="81"/>
        <v>46103</v>
      </c>
      <c r="M1013" s="46">
        <f t="shared" si="82"/>
        <v>46103</v>
      </c>
      <c r="Q1013" s="43">
        <f t="shared" si="83"/>
        <v>0</v>
      </c>
      <c r="R1013" s="43">
        <f t="shared" ca="1" si="84"/>
        <v>0</v>
      </c>
      <c r="S1013" s="22"/>
      <c r="T1013" s="25">
        <v>46013</v>
      </c>
    </row>
    <row r="1014" spans="1:20" x14ac:dyDescent="0.3">
      <c r="A1014" s="13">
        <v>1011</v>
      </c>
      <c r="B1014" s="1" t="s">
        <v>714</v>
      </c>
      <c r="C1014" s="39">
        <f t="shared" ca="1" si="80"/>
        <v>0</v>
      </c>
      <c r="D1014" t="s">
        <v>319</v>
      </c>
      <c r="E1014" t="s">
        <v>584</v>
      </c>
      <c r="F1014" s="7" t="s">
        <v>78</v>
      </c>
      <c r="G1014" s="6" t="s">
        <v>681</v>
      </c>
      <c r="H1014" s="2" t="s">
        <v>681</v>
      </c>
      <c r="I1014" s="1">
        <v>90</v>
      </c>
      <c r="J1014" s="1">
        <v>5</v>
      </c>
      <c r="L1014" s="45">
        <f t="shared" si="81"/>
        <v>46104</v>
      </c>
      <c r="M1014" s="46">
        <f t="shared" si="82"/>
        <v>46104</v>
      </c>
      <c r="Q1014" s="43">
        <f t="shared" si="83"/>
        <v>0</v>
      </c>
      <c r="R1014" s="43">
        <f t="shared" ca="1" si="84"/>
        <v>0</v>
      </c>
      <c r="S1014" s="22"/>
      <c r="T1014" s="25">
        <v>46014</v>
      </c>
    </row>
    <row r="1015" spans="1:20" x14ac:dyDescent="0.3">
      <c r="A1015" s="13">
        <v>1012</v>
      </c>
      <c r="B1015" s="1" t="s">
        <v>714</v>
      </c>
      <c r="C1015" s="39">
        <f t="shared" ca="1" si="80"/>
        <v>0</v>
      </c>
      <c r="D1015" t="s">
        <v>319</v>
      </c>
      <c r="E1015" t="s">
        <v>628</v>
      </c>
      <c r="F1015" s="7" t="s">
        <v>78</v>
      </c>
      <c r="G1015" s="6" t="s">
        <v>681</v>
      </c>
      <c r="H1015" s="2" t="s">
        <v>681</v>
      </c>
      <c r="I1015" s="1">
        <v>90</v>
      </c>
      <c r="J1015" s="1">
        <v>5</v>
      </c>
      <c r="L1015" s="45">
        <f t="shared" si="81"/>
        <v>46105</v>
      </c>
      <c r="M1015" s="46">
        <f t="shared" si="82"/>
        <v>46105</v>
      </c>
      <c r="Q1015" s="43">
        <f t="shared" si="83"/>
        <v>0</v>
      </c>
      <c r="R1015" s="43">
        <f t="shared" ca="1" si="84"/>
        <v>0</v>
      </c>
      <c r="S1015" s="22"/>
      <c r="T1015" s="25">
        <v>46015</v>
      </c>
    </row>
    <row r="1016" spans="1:20" x14ac:dyDescent="0.3">
      <c r="A1016" s="13">
        <v>1013</v>
      </c>
      <c r="B1016" s="1" t="s">
        <v>714</v>
      </c>
      <c r="C1016" s="39">
        <f t="shared" ca="1" si="80"/>
        <v>0</v>
      </c>
      <c r="D1016" t="s">
        <v>319</v>
      </c>
      <c r="E1016" t="s">
        <v>629</v>
      </c>
      <c r="F1016" s="7" t="s">
        <v>78</v>
      </c>
      <c r="G1016" s="6" t="s">
        <v>681</v>
      </c>
      <c r="H1016" s="2" t="s">
        <v>681</v>
      </c>
      <c r="I1016" s="1">
        <v>90</v>
      </c>
      <c r="J1016" s="1">
        <v>5</v>
      </c>
      <c r="L1016" s="45">
        <f t="shared" si="81"/>
        <v>46106</v>
      </c>
      <c r="M1016" s="46">
        <f t="shared" si="82"/>
        <v>46106</v>
      </c>
      <c r="Q1016" s="43">
        <f t="shared" si="83"/>
        <v>0</v>
      </c>
      <c r="R1016" s="43">
        <f t="shared" ca="1" si="84"/>
        <v>0</v>
      </c>
      <c r="S1016" s="22"/>
      <c r="T1016" s="25">
        <v>46016</v>
      </c>
    </row>
    <row r="1017" spans="1:20" x14ac:dyDescent="0.3">
      <c r="A1017" s="13">
        <v>1014</v>
      </c>
      <c r="B1017" s="1" t="s">
        <v>714</v>
      </c>
      <c r="C1017" s="39">
        <f t="shared" ca="1" si="80"/>
        <v>0</v>
      </c>
      <c r="D1017" t="s">
        <v>320</v>
      </c>
      <c r="E1017" t="s">
        <v>630</v>
      </c>
      <c r="F1017" s="7" t="s">
        <v>78</v>
      </c>
      <c r="G1017" s="6" t="s">
        <v>681</v>
      </c>
      <c r="H1017" s="2" t="s">
        <v>681</v>
      </c>
      <c r="I1017" s="1">
        <v>14</v>
      </c>
      <c r="J1017" s="1">
        <v>5</v>
      </c>
      <c r="L1017" s="45">
        <f t="shared" si="81"/>
        <v>46031</v>
      </c>
      <c r="M1017" s="46">
        <f t="shared" si="82"/>
        <v>46031</v>
      </c>
      <c r="Q1017" s="43">
        <f t="shared" si="83"/>
        <v>0</v>
      </c>
      <c r="R1017" s="43">
        <f t="shared" ca="1" si="84"/>
        <v>0</v>
      </c>
      <c r="S1017" s="22"/>
      <c r="T1017" s="25">
        <v>46017</v>
      </c>
    </row>
    <row r="1018" spans="1:20" x14ac:dyDescent="0.3">
      <c r="A1018" s="13">
        <v>1015</v>
      </c>
      <c r="B1018" s="1" t="s">
        <v>714</v>
      </c>
      <c r="C1018" s="39">
        <f t="shared" ca="1" si="80"/>
        <v>0</v>
      </c>
      <c r="D1018" t="s">
        <v>321</v>
      </c>
      <c r="E1018" t="s">
        <v>631</v>
      </c>
      <c r="F1018" s="7" t="s">
        <v>78</v>
      </c>
      <c r="G1018" s="6" t="s">
        <v>681</v>
      </c>
      <c r="H1018" s="2" t="s">
        <v>681</v>
      </c>
      <c r="I1018" s="1">
        <v>14</v>
      </c>
      <c r="J1018" s="1">
        <v>5</v>
      </c>
      <c r="L1018" s="45">
        <f t="shared" si="81"/>
        <v>46032</v>
      </c>
      <c r="M1018" s="46">
        <f t="shared" si="82"/>
        <v>46032</v>
      </c>
      <c r="Q1018" s="43">
        <f t="shared" si="83"/>
        <v>0</v>
      </c>
      <c r="R1018" s="43">
        <f t="shared" ca="1" si="84"/>
        <v>0</v>
      </c>
      <c r="S1018" s="22"/>
      <c r="T1018" s="25">
        <v>46018</v>
      </c>
    </row>
    <row r="1019" spans="1:20" x14ac:dyDescent="0.3">
      <c r="A1019" s="13">
        <v>1016</v>
      </c>
      <c r="B1019" s="1" t="s">
        <v>714</v>
      </c>
      <c r="C1019" s="39">
        <f t="shared" ca="1" si="80"/>
        <v>0</v>
      </c>
      <c r="D1019" t="s">
        <v>322</v>
      </c>
      <c r="E1019" t="s">
        <v>632</v>
      </c>
      <c r="F1019" s="7" t="s">
        <v>78</v>
      </c>
      <c r="G1019" s="6" t="s">
        <v>681</v>
      </c>
      <c r="H1019" s="2" t="s">
        <v>681</v>
      </c>
      <c r="I1019" s="1">
        <v>7</v>
      </c>
      <c r="J1019" s="1">
        <v>5</v>
      </c>
      <c r="L1019" s="45">
        <f t="shared" si="81"/>
        <v>46026</v>
      </c>
      <c r="M1019" s="46">
        <f t="shared" si="82"/>
        <v>46026</v>
      </c>
      <c r="Q1019" s="43">
        <f t="shared" si="83"/>
        <v>0</v>
      </c>
      <c r="R1019" s="43">
        <f t="shared" ca="1" si="84"/>
        <v>0</v>
      </c>
      <c r="S1019" s="22"/>
      <c r="T1019" s="25">
        <v>46019</v>
      </c>
    </row>
    <row r="1020" spans="1:20" x14ac:dyDescent="0.3">
      <c r="A1020" s="13">
        <v>1017</v>
      </c>
      <c r="B1020" s="1" t="s">
        <v>714</v>
      </c>
      <c r="C1020" s="39">
        <f t="shared" ca="1" si="80"/>
        <v>0</v>
      </c>
      <c r="D1020" t="s">
        <v>322</v>
      </c>
      <c r="E1020" t="s">
        <v>633</v>
      </c>
      <c r="F1020" s="7" t="s">
        <v>78</v>
      </c>
      <c r="G1020" s="6" t="s">
        <v>681</v>
      </c>
      <c r="H1020" s="2" t="s">
        <v>681</v>
      </c>
      <c r="I1020" s="1">
        <v>7</v>
      </c>
      <c r="J1020" s="1">
        <v>5</v>
      </c>
      <c r="L1020" s="45">
        <f t="shared" si="81"/>
        <v>46027</v>
      </c>
      <c r="M1020" s="46">
        <f t="shared" si="82"/>
        <v>46027</v>
      </c>
      <c r="Q1020" s="43">
        <f t="shared" si="83"/>
        <v>0</v>
      </c>
      <c r="R1020" s="43">
        <f t="shared" ca="1" si="84"/>
        <v>0</v>
      </c>
      <c r="S1020" s="22"/>
      <c r="T1020" s="25">
        <v>46020</v>
      </c>
    </row>
    <row r="1021" spans="1:20" x14ac:dyDescent="0.3">
      <c r="A1021" s="13">
        <v>1018</v>
      </c>
      <c r="B1021" s="1" t="s">
        <v>714</v>
      </c>
      <c r="C1021" s="39">
        <f t="shared" ca="1" si="80"/>
        <v>0</v>
      </c>
      <c r="D1021" t="s">
        <v>322</v>
      </c>
      <c r="E1021" t="s">
        <v>629</v>
      </c>
      <c r="F1021" s="7" t="s">
        <v>78</v>
      </c>
      <c r="G1021" s="6" t="s">
        <v>681</v>
      </c>
      <c r="H1021" s="2" t="s">
        <v>681</v>
      </c>
      <c r="I1021" s="1">
        <v>7</v>
      </c>
      <c r="J1021" s="1">
        <v>5</v>
      </c>
      <c r="L1021" s="45">
        <f t="shared" si="81"/>
        <v>46028</v>
      </c>
      <c r="M1021" s="46">
        <f t="shared" si="82"/>
        <v>46028</v>
      </c>
      <c r="Q1021" s="43">
        <f t="shared" si="83"/>
        <v>0</v>
      </c>
      <c r="R1021" s="43">
        <f t="shared" ca="1" si="84"/>
        <v>0</v>
      </c>
      <c r="S1021" s="22"/>
      <c r="T1021" s="25">
        <v>46021</v>
      </c>
    </row>
    <row r="1022" spans="1:20" x14ac:dyDescent="0.3">
      <c r="A1022" s="13">
        <v>1019</v>
      </c>
      <c r="B1022" s="1" t="s">
        <v>714</v>
      </c>
      <c r="C1022" s="39">
        <f t="shared" ca="1" si="80"/>
        <v>0</v>
      </c>
      <c r="D1022" t="s">
        <v>322</v>
      </c>
      <c r="E1022" t="s">
        <v>634</v>
      </c>
      <c r="F1022" s="7" t="s">
        <v>78</v>
      </c>
      <c r="G1022" s="6" t="s">
        <v>681</v>
      </c>
      <c r="H1022" s="2" t="s">
        <v>681</v>
      </c>
      <c r="I1022" s="1">
        <v>7</v>
      </c>
      <c r="J1022" s="1">
        <v>5</v>
      </c>
      <c r="L1022" s="45">
        <f t="shared" si="81"/>
        <v>46029</v>
      </c>
      <c r="M1022" s="46">
        <f t="shared" si="82"/>
        <v>46029</v>
      </c>
      <c r="Q1022" s="43">
        <f t="shared" si="83"/>
        <v>0</v>
      </c>
      <c r="R1022" s="43">
        <f t="shared" ca="1" si="84"/>
        <v>0</v>
      </c>
      <c r="S1022" s="22"/>
      <c r="T1022" s="25">
        <v>46022</v>
      </c>
    </row>
    <row r="1023" spans="1:20" x14ac:dyDescent="0.3">
      <c r="A1023" s="13">
        <v>1020</v>
      </c>
      <c r="B1023" s="1" t="s">
        <v>714</v>
      </c>
      <c r="C1023" s="39">
        <f t="shared" ca="1" si="80"/>
        <v>0</v>
      </c>
      <c r="D1023" t="s">
        <v>322</v>
      </c>
      <c r="E1023" t="s">
        <v>635</v>
      </c>
      <c r="F1023" s="7" t="s">
        <v>78</v>
      </c>
      <c r="G1023" s="6" t="s">
        <v>681</v>
      </c>
      <c r="H1023" s="2" t="s">
        <v>681</v>
      </c>
      <c r="I1023" s="1">
        <v>7</v>
      </c>
      <c r="J1023" s="1">
        <v>5</v>
      </c>
      <c r="L1023" s="45">
        <f t="shared" si="81"/>
        <v>46030</v>
      </c>
      <c r="M1023" s="46">
        <f t="shared" si="82"/>
        <v>46030</v>
      </c>
      <c r="Q1023" s="43">
        <f t="shared" si="83"/>
        <v>0</v>
      </c>
      <c r="R1023" s="43">
        <f t="shared" ca="1" si="84"/>
        <v>0</v>
      </c>
      <c r="S1023" s="22"/>
      <c r="T1023" s="25">
        <v>46023</v>
      </c>
    </row>
    <row r="1024" spans="1:20" x14ac:dyDescent="0.3">
      <c r="A1024" s="13">
        <v>1021</v>
      </c>
      <c r="B1024" s="1" t="s">
        <v>714</v>
      </c>
      <c r="C1024" s="39">
        <f t="shared" ca="1" si="80"/>
        <v>0</v>
      </c>
      <c r="D1024" t="s">
        <v>322</v>
      </c>
      <c r="E1024" t="s">
        <v>636</v>
      </c>
      <c r="F1024" s="7" t="s">
        <v>78</v>
      </c>
      <c r="G1024" s="6" t="s">
        <v>681</v>
      </c>
      <c r="H1024" s="2" t="s">
        <v>681</v>
      </c>
      <c r="I1024" s="1">
        <v>90</v>
      </c>
      <c r="J1024" s="1">
        <v>5</v>
      </c>
      <c r="L1024" s="45">
        <f t="shared" si="81"/>
        <v>46114</v>
      </c>
      <c r="M1024" s="46">
        <f t="shared" si="82"/>
        <v>46114</v>
      </c>
      <c r="Q1024" s="43">
        <f t="shared" si="83"/>
        <v>0</v>
      </c>
      <c r="R1024" s="43">
        <f t="shared" ca="1" si="84"/>
        <v>0</v>
      </c>
      <c r="S1024" s="22"/>
      <c r="T1024" s="25">
        <v>46024</v>
      </c>
    </row>
    <row r="1025" spans="1:20" x14ac:dyDescent="0.3">
      <c r="A1025" s="13">
        <v>1022</v>
      </c>
      <c r="B1025" s="1" t="s">
        <v>714</v>
      </c>
      <c r="C1025" s="39">
        <f t="shared" ca="1" si="80"/>
        <v>0</v>
      </c>
      <c r="D1025" t="s">
        <v>322</v>
      </c>
      <c r="E1025" t="s">
        <v>637</v>
      </c>
      <c r="F1025" s="7" t="s">
        <v>78</v>
      </c>
      <c r="G1025" s="6" t="s">
        <v>681</v>
      </c>
      <c r="H1025" s="2" t="s">
        <v>681</v>
      </c>
      <c r="I1025" s="1">
        <v>30</v>
      </c>
      <c r="J1025" s="1">
        <v>5</v>
      </c>
      <c r="L1025" s="45">
        <f t="shared" si="81"/>
        <v>46055</v>
      </c>
      <c r="M1025" s="46">
        <f t="shared" si="82"/>
        <v>46055</v>
      </c>
      <c r="Q1025" s="43">
        <f t="shared" si="83"/>
        <v>0</v>
      </c>
      <c r="R1025" s="43">
        <f t="shared" ca="1" si="84"/>
        <v>0</v>
      </c>
      <c r="S1025" s="22"/>
      <c r="T1025" s="25">
        <v>46025</v>
      </c>
    </row>
    <row r="1026" spans="1:20" x14ac:dyDescent="0.3">
      <c r="A1026" s="13">
        <v>1023</v>
      </c>
      <c r="B1026" s="1" t="s">
        <v>714</v>
      </c>
      <c r="C1026" s="39">
        <f t="shared" ca="1" si="80"/>
        <v>0</v>
      </c>
      <c r="D1026" t="s">
        <v>322</v>
      </c>
      <c r="E1026" t="s">
        <v>638</v>
      </c>
      <c r="F1026" s="7" t="s">
        <v>78</v>
      </c>
      <c r="G1026" s="6" t="s">
        <v>681</v>
      </c>
      <c r="H1026" s="2" t="s">
        <v>681</v>
      </c>
      <c r="I1026" s="1">
        <v>60</v>
      </c>
      <c r="J1026" s="1">
        <v>5</v>
      </c>
      <c r="L1026" s="45">
        <f t="shared" si="81"/>
        <v>46086</v>
      </c>
      <c r="M1026" s="46">
        <f t="shared" si="82"/>
        <v>46086</v>
      </c>
      <c r="Q1026" s="43">
        <f t="shared" si="83"/>
        <v>0</v>
      </c>
      <c r="R1026" s="43">
        <f t="shared" ca="1" si="84"/>
        <v>0</v>
      </c>
      <c r="S1026" s="22"/>
      <c r="T1026" s="25">
        <v>46026</v>
      </c>
    </row>
    <row r="1027" spans="1:20" x14ac:dyDescent="0.3">
      <c r="A1027" s="13">
        <v>1024</v>
      </c>
      <c r="B1027" s="1" t="s">
        <v>714</v>
      </c>
      <c r="C1027" s="39">
        <f t="shared" ca="1" si="80"/>
        <v>0</v>
      </c>
      <c r="D1027" t="s">
        <v>323</v>
      </c>
      <c r="E1027" t="s">
        <v>639</v>
      </c>
      <c r="F1027" s="7" t="s">
        <v>78</v>
      </c>
      <c r="G1027" s="6" t="s">
        <v>681</v>
      </c>
      <c r="H1027" s="2" t="s">
        <v>681</v>
      </c>
      <c r="I1027" s="1">
        <v>7</v>
      </c>
      <c r="J1027" s="1">
        <v>5</v>
      </c>
      <c r="L1027" s="45">
        <f t="shared" si="81"/>
        <v>46034</v>
      </c>
      <c r="M1027" s="46">
        <f t="shared" si="82"/>
        <v>46034</v>
      </c>
      <c r="Q1027" s="43">
        <f t="shared" si="83"/>
        <v>0</v>
      </c>
      <c r="R1027" s="43">
        <f t="shared" ca="1" si="84"/>
        <v>0</v>
      </c>
      <c r="S1027" s="22"/>
      <c r="T1027" s="25">
        <v>46027</v>
      </c>
    </row>
    <row r="1028" spans="1:20" x14ac:dyDescent="0.3">
      <c r="A1028" s="13">
        <v>1025</v>
      </c>
      <c r="B1028" s="1" t="s">
        <v>714</v>
      </c>
      <c r="C1028" s="39">
        <f t="shared" ca="1" si="80"/>
        <v>0</v>
      </c>
      <c r="D1028" t="s">
        <v>323</v>
      </c>
      <c r="E1028" t="s">
        <v>629</v>
      </c>
      <c r="F1028" s="7" t="s">
        <v>78</v>
      </c>
      <c r="G1028" s="6" t="s">
        <v>681</v>
      </c>
      <c r="H1028" s="2" t="s">
        <v>681</v>
      </c>
      <c r="I1028" s="1">
        <v>7</v>
      </c>
      <c r="J1028" s="1">
        <v>5</v>
      </c>
      <c r="L1028" s="45">
        <f t="shared" si="81"/>
        <v>46035</v>
      </c>
      <c r="M1028" s="46">
        <f t="shared" si="82"/>
        <v>46035</v>
      </c>
      <c r="Q1028" s="43">
        <f t="shared" si="83"/>
        <v>0</v>
      </c>
      <c r="R1028" s="43">
        <f t="shared" ca="1" si="84"/>
        <v>0</v>
      </c>
      <c r="S1028" s="22"/>
      <c r="T1028" s="25">
        <v>46028</v>
      </c>
    </row>
    <row r="1029" spans="1:20" x14ac:dyDescent="0.3">
      <c r="A1029" s="13">
        <v>1026</v>
      </c>
      <c r="B1029" s="1" t="s">
        <v>714</v>
      </c>
      <c r="C1029" s="39">
        <f t="shared" ref="C1029:C1092" ca="1" si="85">IF(L1029&lt;=$A$2,1,0)</f>
        <v>0</v>
      </c>
      <c r="D1029" t="s">
        <v>323</v>
      </c>
      <c r="E1029" t="s">
        <v>618</v>
      </c>
      <c r="F1029" s="7" t="s">
        <v>78</v>
      </c>
      <c r="G1029" s="6" t="s">
        <v>681</v>
      </c>
      <c r="H1029" s="2" t="s">
        <v>681</v>
      </c>
      <c r="I1029" s="1">
        <v>7</v>
      </c>
      <c r="J1029" s="1">
        <v>5</v>
      </c>
      <c r="L1029" s="45">
        <f t="shared" ref="L1029:L1092" si="86">IF(N1029="",M1029,N1029)</f>
        <v>46036</v>
      </c>
      <c r="M1029" s="46">
        <f t="shared" si="82"/>
        <v>46036</v>
      </c>
      <c r="Q1029" s="43">
        <f t="shared" si="83"/>
        <v>0</v>
      </c>
      <c r="R1029" s="43">
        <f t="shared" ca="1" si="84"/>
        <v>0</v>
      </c>
      <c r="S1029" s="22"/>
      <c r="T1029" s="25">
        <v>46029</v>
      </c>
    </row>
    <row r="1030" spans="1:20" x14ac:dyDescent="0.3">
      <c r="A1030" s="13">
        <v>1027</v>
      </c>
      <c r="B1030" s="1" t="s">
        <v>714</v>
      </c>
      <c r="C1030" s="39">
        <f t="shared" ca="1" si="85"/>
        <v>0</v>
      </c>
      <c r="D1030" t="s">
        <v>298</v>
      </c>
      <c r="E1030" t="s">
        <v>640</v>
      </c>
      <c r="F1030" s="7" t="s">
        <v>78</v>
      </c>
      <c r="G1030" s="6" t="s">
        <v>681</v>
      </c>
      <c r="H1030" s="2" t="s">
        <v>681</v>
      </c>
      <c r="I1030" s="1">
        <v>7</v>
      </c>
      <c r="J1030" s="1">
        <v>5</v>
      </c>
      <c r="L1030" s="45">
        <f t="shared" si="86"/>
        <v>46037</v>
      </c>
      <c r="M1030" s="46">
        <f t="shared" si="82"/>
        <v>46037</v>
      </c>
      <c r="Q1030" s="43">
        <f t="shared" si="83"/>
        <v>0</v>
      </c>
      <c r="R1030" s="43">
        <f t="shared" ca="1" si="84"/>
        <v>0</v>
      </c>
      <c r="S1030" s="22"/>
      <c r="T1030" s="25">
        <v>46030</v>
      </c>
    </row>
    <row r="1031" spans="1:20" x14ac:dyDescent="0.3">
      <c r="A1031" s="13">
        <v>1028</v>
      </c>
      <c r="B1031" s="1" t="s">
        <v>714</v>
      </c>
      <c r="C1031" s="39">
        <f t="shared" ca="1" si="85"/>
        <v>0</v>
      </c>
      <c r="D1031" t="s">
        <v>298</v>
      </c>
      <c r="E1031" t="s">
        <v>641</v>
      </c>
      <c r="F1031" s="7" t="s">
        <v>78</v>
      </c>
      <c r="G1031" s="6" t="s">
        <v>681</v>
      </c>
      <c r="H1031" s="2" t="s">
        <v>681</v>
      </c>
      <c r="I1031" s="1">
        <v>7</v>
      </c>
      <c r="J1031" s="1">
        <v>5</v>
      </c>
      <c r="L1031" s="45">
        <f t="shared" si="86"/>
        <v>46038</v>
      </c>
      <c r="M1031" s="46">
        <f t="shared" si="82"/>
        <v>46038</v>
      </c>
      <c r="Q1031" s="43">
        <f t="shared" si="83"/>
        <v>0</v>
      </c>
      <c r="R1031" s="43">
        <f t="shared" ca="1" si="84"/>
        <v>0</v>
      </c>
      <c r="S1031" s="22"/>
      <c r="T1031" s="25">
        <v>46031</v>
      </c>
    </row>
    <row r="1032" spans="1:20" x14ac:dyDescent="0.3">
      <c r="A1032" s="13">
        <v>1029</v>
      </c>
      <c r="B1032" s="1" t="s">
        <v>714</v>
      </c>
      <c r="C1032" s="39">
        <f t="shared" ca="1" si="85"/>
        <v>0</v>
      </c>
      <c r="D1032" t="s">
        <v>298</v>
      </c>
      <c r="E1032" t="s">
        <v>642</v>
      </c>
      <c r="F1032" s="7" t="s">
        <v>78</v>
      </c>
      <c r="G1032" s="6" t="s">
        <v>681</v>
      </c>
      <c r="H1032" s="2" t="s">
        <v>681</v>
      </c>
      <c r="I1032" s="1">
        <v>7</v>
      </c>
      <c r="J1032" s="1">
        <v>5</v>
      </c>
      <c r="L1032" s="45">
        <f t="shared" si="86"/>
        <v>46039</v>
      </c>
      <c r="M1032" s="46">
        <f t="shared" si="82"/>
        <v>46039</v>
      </c>
      <c r="Q1032" s="43">
        <f t="shared" si="83"/>
        <v>0</v>
      </c>
      <c r="R1032" s="43">
        <f t="shared" ca="1" si="84"/>
        <v>0</v>
      </c>
      <c r="S1032" s="22"/>
      <c r="T1032" s="25">
        <v>46032</v>
      </c>
    </row>
    <row r="1033" spans="1:20" x14ac:dyDescent="0.3">
      <c r="A1033" s="13">
        <v>1030</v>
      </c>
      <c r="B1033" s="1" t="s">
        <v>714</v>
      </c>
      <c r="C1033" s="39">
        <f t="shared" ca="1" si="85"/>
        <v>0</v>
      </c>
      <c r="D1033" t="s">
        <v>298</v>
      </c>
      <c r="E1033" t="s">
        <v>643</v>
      </c>
      <c r="F1033" s="7" t="s">
        <v>78</v>
      </c>
      <c r="G1033" s="6" t="s">
        <v>681</v>
      </c>
      <c r="H1033" s="2" t="s">
        <v>681</v>
      </c>
      <c r="I1033" s="1">
        <v>7</v>
      </c>
      <c r="J1033" s="1">
        <v>5</v>
      </c>
      <c r="L1033" s="45">
        <f t="shared" si="86"/>
        <v>46040</v>
      </c>
      <c r="M1033" s="46">
        <f t="shared" si="82"/>
        <v>46040</v>
      </c>
      <c r="Q1033" s="43">
        <f t="shared" si="83"/>
        <v>0</v>
      </c>
      <c r="R1033" s="43">
        <f t="shared" ca="1" si="84"/>
        <v>0</v>
      </c>
      <c r="S1033" s="22"/>
      <c r="T1033" s="25">
        <v>46033</v>
      </c>
    </row>
    <row r="1034" spans="1:20" x14ac:dyDescent="0.3">
      <c r="A1034" s="13">
        <v>1031</v>
      </c>
      <c r="B1034" s="1" t="s">
        <v>714</v>
      </c>
      <c r="C1034" s="39">
        <f t="shared" ca="1" si="85"/>
        <v>0</v>
      </c>
      <c r="D1034" t="s">
        <v>324</v>
      </c>
      <c r="E1034" t="s">
        <v>644</v>
      </c>
      <c r="F1034" s="7" t="s">
        <v>78</v>
      </c>
      <c r="G1034" s="6" t="s">
        <v>681</v>
      </c>
      <c r="H1034" s="2" t="s">
        <v>681</v>
      </c>
      <c r="I1034" s="1">
        <v>14</v>
      </c>
      <c r="J1034" s="1">
        <v>5</v>
      </c>
      <c r="L1034" s="45">
        <f t="shared" si="86"/>
        <v>46048</v>
      </c>
      <c r="M1034" s="46">
        <f t="shared" si="82"/>
        <v>46048</v>
      </c>
      <c r="Q1034" s="43">
        <f t="shared" si="83"/>
        <v>0</v>
      </c>
      <c r="R1034" s="43">
        <f t="shared" ca="1" si="84"/>
        <v>0</v>
      </c>
      <c r="S1034" s="22"/>
      <c r="T1034" s="25">
        <v>46034</v>
      </c>
    </row>
    <row r="1035" spans="1:20" x14ac:dyDescent="0.3">
      <c r="A1035" s="13">
        <v>1032</v>
      </c>
      <c r="B1035" s="1" t="s">
        <v>714</v>
      </c>
      <c r="C1035" s="39">
        <f t="shared" ca="1" si="85"/>
        <v>0</v>
      </c>
      <c r="D1035" t="s">
        <v>324</v>
      </c>
      <c r="E1035" t="s">
        <v>645</v>
      </c>
      <c r="F1035" s="7" t="s">
        <v>78</v>
      </c>
      <c r="G1035" s="6" t="s">
        <v>681</v>
      </c>
      <c r="H1035" s="2" t="s">
        <v>681</v>
      </c>
      <c r="I1035" s="1">
        <v>14</v>
      </c>
      <c r="J1035" s="1">
        <v>5</v>
      </c>
      <c r="L1035" s="45">
        <f t="shared" si="86"/>
        <v>46049</v>
      </c>
      <c r="M1035" s="46">
        <f t="shared" si="82"/>
        <v>46049</v>
      </c>
      <c r="Q1035" s="43">
        <f t="shared" si="83"/>
        <v>0</v>
      </c>
      <c r="R1035" s="43">
        <f t="shared" ca="1" si="84"/>
        <v>0</v>
      </c>
      <c r="S1035" s="22"/>
      <c r="T1035" s="25">
        <v>46035</v>
      </c>
    </row>
    <row r="1036" spans="1:20" x14ac:dyDescent="0.3">
      <c r="A1036" s="13">
        <v>1033</v>
      </c>
      <c r="B1036" s="1" t="s">
        <v>714</v>
      </c>
      <c r="C1036" s="39">
        <f t="shared" ca="1" si="85"/>
        <v>0</v>
      </c>
      <c r="D1036" t="s">
        <v>324</v>
      </c>
      <c r="E1036" t="s">
        <v>646</v>
      </c>
      <c r="F1036" s="7" t="s">
        <v>78</v>
      </c>
      <c r="G1036" s="6" t="s">
        <v>681</v>
      </c>
      <c r="H1036" s="2" t="s">
        <v>681</v>
      </c>
      <c r="I1036" s="1">
        <v>14</v>
      </c>
      <c r="J1036" s="1">
        <v>5</v>
      </c>
      <c r="L1036" s="45">
        <f t="shared" si="86"/>
        <v>46050</v>
      </c>
      <c r="M1036" s="46">
        <f t="shared" si="82"/>
        <v>46050</v>
      </c>
      <c r="Q1036" s="43">
        <f t="shared" si="83"/>
        <v>0</v>
      </c>
      <c r="R1036" s="43">
        <f t="shared" ca="1" si="84"/>
        <v>0</v>
      </c>
      <c r="S1036" s="22"/>
      <c r="T1036" s="25">
        <v>46036</v>
      </c>
    </row>
    <row r="1037" spans="1:20" x14ac:dyDescent="0.3">
      <c r="A1037" s="13">
        <v>1034</v>
      </c>
      <c r="B1037" s="1" t="s">
        <v>714</v>
      </c>
      <c r="C1037" s="39">
        <f t="shared" ca="1" si="85"/>
        <v>0</v>
      </c>
      <c r="D1037" t="s">
        <v>325</v>
      </c>
      <c r="E1037" t="s">
        <v>647</v>
      </c>
      <c r="F1037" s="7" t="s">
        <v>78</v>
      </c>
      <c r="G1037" s="6" t="s">
        <v>681</v>
      </c>
      <c r="H1037" s="2" t="s">
        <v>681</v>
      </c>
      <c r="I1037" s="1">
        <v>14</v>
      </c>
      <c r="J1037" s="1">
        <v>5</v>
      </c>
      <c r="L1037" s="45">
        <f t="shared" si="86"/>
        <v>46051</v>
      </c>
      <c r="M1037" s="46">
        <f t="shared" si="82"/>
        <v>46051</v>
      </c>
      <c r="Q1037" s="43">
        <f t="shared" si="83"/>
        <v>0</v>
      </c>
      <c r="R1037" s="43">
        <f t="shared" ca="1" si="84"/>
        <v>0</v>
      </c>
      <c r="S1037" s="22"/>
      <c r="T1037" s="25">
        <v>46037</v>
      </c>
    </row>
    <row r="1038" spans="1:20" x14ac:dyDescent="0.3">
      <c r="A1038" s="13">
        <v>1035</v>
      </c>
      <c r="B1038" s="1" t="s">
        <v>714</v>
      </c>
      <c r="C1038" s="39">
        <f t="shared" ca="1" si="85"/>
        <v>0</v>
      </c>
      <c r="D1038" t="s">
        <v>326</v>
      </c>
      <c r="E1038" t="s">
        <v>648</v>
      </c>
      <c r="F1038" s="7" t="s">
        <v>78</v>
      </c>
      <c r="G1038" s="6" t="s">
        <v>681</v>
      </c>
      <c r="H1038" s="2" t="s">
        <v>681</v>
      </c>
      <c r="I1038" s="1">
        <v>14</v>
      </c>
      <c r="J1038" s="1">
        <v>5</v>
      </c>
      <c r="L1038" s="45">
        <f t="shared" si="86"/>
        <v>46052</v>
      </c>
      <c r="M1038" s="46">
        <f t="shared" si="82"/>
        <v>46052</v>
      </c>
      <c r="Q1038" s="43">
        <f t="shared" si="83"/>
        <v>0</v>
      </c>
      <c r="R1038" s="43">
        <f t="shared" ca="1" si="84"/>
        <v>0</v>
      </c>
      <c r="S1038" s="22"/>
      <c r="T1038" s="25">
        <v>46038</v>
      </c>
    </row>
    <row r="1039" spans="1:20" x14ac:dyDescent="0.3">
      <c r="A1039" s="13">
        <v>1036</v>
      </c>
      <c r="B1039" s="1" t="s">
        <v>714</v>
      </c>
      <c r="C1039" s="39">
        <f t="shared" ca="1" si="85"/>
        <v>0</v>
      </c>
      <c r="D1039" t="s">
        <v>326</v>
      </c>
      <c r="E1039" t="s">
        <v>649</v>
      </c>
      <c r="F1039" s="7" t="s">
        <v>78</v>
      </c>
      <c r="G1039" s="6" t="s">
        <v>681</v>
      </c>
      <c r="H1039" s="2" t="s">
        <v>681</v>
      </c>
      <c r="I1039" s="1">
        <v>14</v>
      </c>
      <c r="J1039" s="1">
        <v>5</v>
      </c>
      <c r="L1039" s="45">
        <f t="shared" si="86"/>
        <v>46053</v>
      </c>
      <c r="M1039" s="46">
        <f t="shared" si="82"/>
        <v>46053</v>
      </c>
      <c r="Q1039" s="43">
        <f t="shared" si="83"/>
        <v>0</v>
      </c>
      <c r="R1039" s="43">
        <f t="shared" ca="1" si="84"/>
        <v>0</v>
      </c>
      <c r="S1039" s="22"/>
      <c r="T1039" s="25">
        <v>46039</v>
      </c>
    </row>
    <row r="1040" spans="1:20" x14ac:dyDescent="0.3">
      <c r="A1040" s="13">
        <v>1037</v>
      </c>
      <c r="B1040" s="1" t="s">
        <v>714</v>
      </c>
      <c r="C1040" s="39">
        <f t="shared" ca="1" si="85"/>
        <v>0</v>
      </c>
      <c r="D1040" t="s">
        <v>326</v>
      </c>
      <c r="E1040" t="s">
        <v>650</v>
      </c>
      <c r="F1040" s="7" t="s">
        <v>78</v>
      </c>
      <c r="G1040" s="6" t="s">
        <v>681</v>
      </c>
      <c r="H1040" s="2" t="s">
        <v>681</v>
      </c>
      <c r="I1040" s="1">
        <v>14</v>
      </c>
      <c r="J1040" s="1">
        <v>5</v>
      </c>
      <c r="L1040" s="45">
        <f t="shared" si="86"/>
        <v>46054</v>
      </c>
      <c r="M1040" s="46">
        <f t="shared" si="82"/>
        <v>46054</v>
      </c>
      <c r="Q1040" s="43">
        <f t="shared" si="83"/>
        <v>0</v>
      </c>
      <c r="R1040" s="43">
        <f t="shared" ca="1" si="84"/>
        <v>0</v>
      </c>
      <c r="S1040" s="22"/>
      <c r="T1040" s="25">
        <v>46040</v>
      </c>
    </row>
    <row r="1041" spans="1:20" x14ac:dyDescent="0.3">
      <c r="A1041" s="13">
        <v>1038</v>
      </c>
      <c r="B1041" s="1" t="s">
        <v>714</v>
      </c>
      <c r="C1041" s="39">
        <f t="shared" ca="1" si="85"/>
        <v>0</v>
      </c>
      <c r="D1041" t="s">
        <v>327</v>
      </c>
      <c r="E1041" t="s">
        <v>560</v>
      </c>
      <c r="F1041" s="7" t="s">
        <v>78</v>
      </c>
      <c r="G1041" s="6" t="s">
        <v>681</v>
      </c>
      <c r="H1041" s="2" t="s">
        <v>681</v>
      </c>
      <c r="I1041" s="1">
        <v>90</v>
      </c>
      <c r="J1041" s="1">
        <v>5</v>
      </c>
      <c r="L1041" s="45">
        <f t="shared" si="86"/>
        <v>46131</v>
      </c>
      <c r="M1041" s="46">
        <f t="shared" si="82"/>
        <v>46131</v>
      </c>
      <c r="Q1041" s="43">
        <f t="shared" si="83"/>
        <v>0</v>
      </c>
      <c r="R1041" s="43">
        <f t="shared" ca="1" si="84"/>
        <v>0</v>
      </c>
      <c r="S1041" s="22"/>
      <c r="T1041" s="25">
        <v>46041</v>
      </c>
    </row>
    <row r="1042" spans="1:20" x14ac:dyDescent="0.3">
      <c r="A1042" s="13">
        <v>1039</v>
      </c>
      <c r="B1042" s="1" t="s">
        <v>714</v>
      </c>
      <c r="C1042" s="39">
        <f t="shared" ca="1" si="85"/>
        <v>0</v>
      </c>
      <c r="D1042" t="s">
        <v>327</v>
      </c>
      <c r="E1042" t="s">
        <v>651</v>
      </c>
      <c r="F1042" s="7" t="s">
        <v>78</v>
      </c>
      <c r="G1042" s="6" t="s">
        <v>681</v>
      </c>
      <c r="H1042" s="2" t="s">
        <v>681</v>
      </c>
      <c r="I1042" s="1">
        <v>90</v>
      </c>
      <c r="J1042" s="1">
        <v>5</v>
      </c>
      <c r="L1042" s="45">
        <f t="shared" si="86"/>
        <v>46132</v>
      </c>
      <c r="M1042" s="46">
        <f t="shared" si="82"/>
        <v>46132</v>
      </c>
      <c r="Q1042" s="43">
        <f t="shared" si="83"/>
        <v>0</v>
      </c>
      <c r="R1042" s="43">
        <f t="shared" ca="1" si="84"/>
        <v>0</v>
      </c>
      <c r="S1042" s="22"/>
      <c r="T1042" s="25">
        <v>46042</v>
      </c>
    </row>
    <row r="1043" spans="1:20" x14ac:dyDescent="0.3">
      <c r="A1043" s="13">
        <v>1040</v>
      </c>
      <c r="B1043" s="1" t="s">
        <v>714</v>
      </c>
      <c r="C1043" s="39">
        <f t="shared" ca="1" si="85"/>
        <v>0</v>
      </c>
      <c r="D1043" t="s">
        <v>327</v>
      </c>
      <c r="E1043" t="s">
        <v>527</v>
      </c>
      <c r="F1043" s="7" t="s">
        <v>78</v>
      </c>
      <c r="G1043" s="6" t="s">
        <v>681</v>
      </c>
      <c r="H1043" s="2" t="s">
        <v>681</v>
      </c>
      <c r="I1043" s="1">
        <v>90</v>
      </c>
      <c r="J1043" s="1">
        <v>5</v>
      </c>
      <c r="L1043" s="45">
        <f t="shared" si="86"/>
        <v>46133</v>
      </c>
      <c r="M1043" s="46">
        <f t="shared" si="82"/>
        <v>46133</v>
      </c>
      <c r="Q1043" s="43">
        <f t="shared" si="83"/>
        <v>0</v>
      </c>
      <c r="R1043" s="43">
        <f t="shared" ca="1" si="84"/>
        <v>0</v>
      </c>
      <c r="S1043" s="22"/>
      <c r="T1043" s="25">
        <v>46043</v>
      </c>
    </row>
    <row r="1044" spans="1:20" x14ac:dyDescent="0.3">
      <c r="A1044" s="13">
        <v>1041</v>
      </c>
      <c r="B1044" s="1" t="s">
        <v>714</v>
      </c>
      <c r="C1044" s="39">
        <f t="shared" ca="1" si="85"/>
        <v>0</v>
      </c>
      <c r="D1044" t="s">
        <v>327</v>
      </c>
      <c r="E1044" t="s">
        <v>652</v>
      </c>
      <c r="F1044" s="7" t="s">
        <v>78</v>
      </c>
      <c r="G1044" s="6" t="s">
        <v>681</v>
      </c>
      <c r="H1044" s="2" t="s">
        <v>681</v>
      </c>
      <c r="I1044" s="1">
        <v>90</v>
      </c>
      <c r="J1044" s="1">
        <v>5</v>
      </c>
      <c r="L1044" s="45">
        <f t="shared" si="86"/>
        <v>46134</v>
      </c>
      <c r="M1044" s="46">
        <f t="shared" si="82"/>
        <v>46134</v>
      </c>
      <c r="Q1044" s="43">
        <f t="shared" si="83"/>
        <v>0</v>
      </c>
      <c r="R1044" s="43">
        <f t="shared" ca="1" si="84"/>
        <v>0</v>
      </c>
      <c r="S1044" s="22"/>
      <c r="T1044" s="25">
        <v>46044</v>
      </c>
    </row>
    <row r="1045" spans="1:20" x14ac:dyDescent="0.3">
      <c r="A1045" s="13">
        <v>1042</v>
      </c>
      <c r="B1045" s="1" t="s">
        <v>714</v>
      </c>
      <c r="C1045" s="39">
        <f t="shared" ca="1" si="85"/>
        <v>0</v>
      </c>
      <c r="D1045" t="s">
        <v>327</v>
      </c>
      <c r="E1045" t="s">
        <v>653</v>
      </c>
      <c r="F1045" s="7" t="s">
        <v>78</v>
      </c>
      <c r="G1045" s="6" t="s">
        <v>681</v>
      </c>
      <c r="H1045" s="2" t="s">
        <v>681</v>
      </c>
      <c r="I1045" s="1">
        <v>90</v>
      </c>
      <c r="J1045" s="1">
        <v>5</v>
      </c>
      <c r="L1045" s="45">
        <f t="shared" si="86"/>
        <v>46135</v>
      </c>
      <c r="M1045" s="46">
        <f t="shared" si="82"/>
        <v>46135</v>
      </c>
      <c r="Q1045" s="43">
        <f t="shared" si="83"/>
        <v>0</v>
      </c>
      <c r="R1045" s="43">
        <f t="shared" ca="1" si="84"/>
        <v>0</v>
      </c>
      <c r="S1045" s="22"/>
      <c r="T1045" s="25">
        <v>46045</v>
      </c>
    </row>
    <row r="1046" spans="1:20" x14ac:dyDescent="0.3">
      <c r="A1046" s="13">
        <v>1043</v>
      </c>
      <c r="B1046" s="1" t="s">
        <v>714</v>
      </c>
      <c r="C1046" s="39">
        <f t="shared" ca="1" si="85"/>
        <v>0</v>
      </c>
      <c r="D1046" t="s">
        <v>327</v>
      </c>
      <c r="E1046" t="s">
        <v>231</v>
      </c>
      <c r="F1046" s="7" t="s">
        <v>78</v>
      </c>
      <c r="G1046" s="6" t="s">
        <v>681</v>
      </c>
      <c r="H1046" s="2" t="s">
        <v>681</v>
      </c>
      <c r="I1046" s="1">
        <v>90</v>
      </c>
      <c r="J1046" s="1">
        <v>5</v>
      </c>
      <c r="L1046" s="45">
        <f t="shared" si="86"/>
        <v>46136</v>
      </c>
      <c r="M1046" s="46">
        <f t="shared" si="82"/>
        <v>46136</v>
      </c>
      <c r="Q1046" s="43">
        <f t="shared" si="83"/>
        <v>0</v>
      </c>
      <c r="R1046" s="43">
        <f t="shared" ca="1" si="84"/>
        <v>0</v>
      </c>
      <c r="S1046" s="22"/>
      <c r="T1046" s="25">
        <v>46046</v>
      </c>
    </row>
    <row r="1047" spans="1:20" x14ac:dyDescent="0.3">
      <c r="A1047" s="13">
        <v>1044</v>
      </c>
      <c r="B1047" s="1" t="s">
        <v>714</v>
      </c>
      <c r="C1047" s="39">
        <f t="shared" ca="1" si="85"/>
        <v>0</v>
      </c>
      <c r="D1047" t="s">
        <v>328</v>
      </c>
      <c r="E1047" t="s">
        <v>173</v>
      </c>
      <c r="F1047" s="7" t="s">
        <v>78</v>
      </c>
      <c r="G1047" s="6" t="s">
        <v>681</v>
      </c>
      <c r="H1047" s="2" t="s">
        <v>681</v>
      </c>
      <c r="I1047" s="1">
        <v>90</v>
      </c>
      <c r="J1047" s="1">
        <v>5</v>
      </c>
      <c r="L1047" s="45">
        <f t="shared" si="86"/>
        <v>46137</v>
      </c>
      <c r="M1047" s="46">
        <f t="shared" si="82"/>
        <v>46137</v>
      </c>
      <c r="Q1047" s="43">
        <f t="shared" si="83"/>
        <v>0</v>
      </c>
      <c r="R1047" s="43">
        <f t="shared" ca="1" si="84"/>
        <v>0</v>
      </c>
      <c r="S1047" s="22"/>
      <c r="T1047" s="25">
        <v>46047</v>
      </c>
    </row>
    <row r="1048" spans="1:20" x14ac:dyDescent="0.3">
      <c r="A1048" s="13">
        <v>1045</v>
      </c>
      <c r="B1048" s="1" t="s">
        <v>714</v>
      </c>
      <c r="C1048" s="39">
        <f t="shared" ca="1" si="85"/>
        <v>0</v>
      </c>
      <c r="D1048" t="s">
        <v>328</v>
      </c>
      <c r="E1048" t="s">
        <v>654</v>
      </c>
      <c r="F1048" s="7" t="s">
        <v>78</v>
      </c>
      <c r="G1048" s="6" t="s">
        <v>681</v>
      </c>
      <c r="H1048" s="2" t="s">
        <v>681</v>
      </c>
      <c r="I1048" s="1">
        <v>90</v>
      </c>
      <c r="J1048" s="1">
        <v>5</v>
      </c>
      <c r="L1048" s="45">
        <f t="shared" si="86"/>
        <v>46138</v>
      </c>
      <c r="M1048" s="46">
        <f t="shared" si="82"/>
        <v>46138</v>
      </c>
      <c r="Q1048" s="43">
        <f t="shared" si="83"/>
        <v>0</v>
      </c>
      <c r="R1048" s="43">
        <f t="shared" ca="1" si="84"/>
        <v>0</v>
      </c>
      <c r="S1048" s="22"/>
      <c r="T1048" s="25">
        <v>46048</v>
      </c>
    </row>
    <row r="1049" spans="1:20" x14ac:dyDescent="0.3">
      <c r="A1049" s="13">
        <v>1046</v>
      </c>
      <c r="B1049" s="1" t="s">
        <v>259</v>
      </c>
      <c r="C1049" s="39">
        <f t="shared" ca="1" si="85"/>
        <v>0</v>
      </c>
      <c r="D1049" t="s">
        <v>329</v>
      </c>
      <c r="E1049" t="s">
        <v>655</v>
      </c>
      <c r="F1049" s="7" t="s">
        <v>78</v>
      </c>
      <c r="G1049" s="6" t="s">
        <v>681</v>
      </c>
      <c r="H1049" s="2" t="s">
        <v>681</v>
      </c>
      <c r="I1049" s="1">
        <v>180</v>
      </c>
      <c r="J1049" s="1">
        <v>5</v>
      </c>
      <c r="L1049" s="45">
        <f t="shared" si="86"/>
        <v>46229</v>
      </c>
      <c r="M1049" s="46">
        <f t="shared" si="82"/>
        <v>46229</v>
      </c>
      <c r="Q1049" s="43">
        <f t="shared" si="83"/>
        <v>0</v>
      </c>
      <c r="R1049" s="43">
        <f t="shared" ca="1" si="84"/>
        <v>0</v>
      </c>
      <c r="S1049" s="22"/>
      <c r="T1049" s="25">
        <v>46049</v>
      </c>
    </row>
    <row r="1050" spans="1:20" x14ac:dyDescent="0.3">
      <c r="A1050" s="13">
        <v>1047</v>
      </c>
      <c r="B1050" s="1" t="s">
        <v>259</v>
      </c>
      <c r="C1050" s="39">
        <f t="shared" ca="1" si="85"/>
        <v>0</v>
      </c>
      <c r="D1050" t="s">
        <v>329</v>
      </c>
      <c r="E1050" t="s">
        <v>653</v>
      </c>
      <c r="F1050" s="7" t="s">
        <v>78</v>
      </c>
      <c r="G1050" s="6" t="s">
        <v>681</v>
      </c>
      <c r="H1050" s="2" t="s">
        <v>681</v>
      </c>
      <c r="I1050" s="1">
        <v>180</v>
      </c>
      <c r="J1050" s="1">
        <v>5</v>
      </c>
      <c r="L1050" s="45">
        <f t="shared" si="86"/>
        <v>46230</v>
      </c>
      <c r="M1050" s="46">
        <f t="shared" si="82"/>
        <v>46230</v>
      </c>
      <c r="Q1050" s="43">
        <f t="shared" si="83"/>
        <v>0</v>
      </c>
      <c r="R1050" s="43">
        <f t="shared" ca="1" si="84"/>
        <v>0</v>
      </c>
      <c r="S1050" s="22"/>
      <c r="T1050" s="25">
        <v>46050</v>
      </c>
    </row>
    <row r="1051" spans="1:20" x14ac:dyDescent="0.3">
      <c r="A1051" s="13">
        <v>1048</v>
      </c>
      <c r="B1051" s="1" t="s">
        <v>714</v>
      </c>
      <c r="C1051" s="39">
        <f t="shared" ca="1" si="85"/>
        <v>0</v>
      </c>
      <c r="D1051" t="s">
        <v>330</v>
      </c>
      <c r="E1051" t="s">
        <v>656</v>
      </c>
      <c r="F1051" s="7" t="s">
        <v>78</v>
      </c>
      <c r="G1051" s="6" t="s">
        <v>681</v>
      </c>
      <c r="H1051" s="2" t="s">
        <v>681</v>
      </c>
      <c r="I1051" s="1">
        <v>60</v>
      </c>
      <c r="J1051" s="1">
        <v>5</v>
      </c>
      <c r="L1051" s="45">
        <f t="shared" si="86"/>
        <v>46111</v>
      </c>
      <c r="M1051" s="46">
        <f t="shared" si="82"/>
        <v>46111</v>
      </c>
      <c r="Q1051" s="43">
        <f t="shared" si="83"/>
        <v>0</v>
      </c>
      <c r="R1051" s="43">
        <f t="shared" ca="1" si="84"/>
        <v>0</v>
      </c>
      <c r="S1051" s="22"/>
      <c r="T1051" s="25">
        <v>46051</v>
      </c>
    </row>
    <row r="1052" spans="1:20" x14ac:dyDescent="0.3">
      <c r="A1052" s="13">
        <v>1049</v>
      </c>
      <c r="B1052" s="1" t="s">
        <v>714</v>
      </c>
      <c r="C1052" s="39">
        <f t="shared" ca="1" si="85"/>
        <v>0</v>
      </c>
      <c r="D1052" t="s">
        <v>330</v>
      </c>
      <c r="E1052" t="s">
        <v>173</v>
      </c>
      <c r="F1052" s="7" t="s">
        <v>78</v>
      </c>
      <c r="G1052" s="6" t="s">
        <v>681</v>
      </c>
      <c r="H1052" s="2" t="s">
        <v>681</v>
      </c>
      <c r="I1052" s="1">
        <v>60</v>
      </c>
      <c r="J1052" s="1">
        <v>5</v>
      </c>
      <c r="L1052" s="45">
        <f t="shared" si="86"/>
        <v>46112</v>
      </c>
      <c r="M1052" s="46">
        <f t="shared" si="82"/>
        <v>46112</v>
      </c>
      <c r="Q1052" s="43">
        <f t="shared" si="83"/>
        <v>0</v>
      </c>
      <c r="R1052" s="43">
        <f t="shared" ca="1" si="84"/>
        <v>0</v>
      </c>
      <c r="S1052" s="22"/>
      <c r="T1052" s="25">
        <v>46052</v>
      </c>
    </row>
    <row r="1053" spans="1:20" x14ac:dyDescent="0.3">
      <c r="A1053" s="13">
        <v>1050</v>
      </c>
      <c r="B1053" s="1" t="s">
        <v>714</v>
      </c>
      <c r="C1053" s="39">
        <f t="shared" ca="1" si="85"/>
        <v>0</v>
      </c>
      <c r="D1053" t="s">
        <v>330</v>
      </c>
      <c r="E1053" t="s">
        <v>654</v>
      </c>
      <c r="F1053" s="7" t="s">
        <v>78</v>
      </c>
      <c r="G1053" s="6" t="s">
        <v>681</v>
      </c>
      <c r="H1053" s="2" t="s">
        <v>681</v>
      </c>
      <c r="I1053" s="1">
        <v>60</v>
      </c>
      <c r="J1053" s="1">
        <v>5</v>
      </c>
      <c r="L1053" s="45">
        <f t="shared" si="86"/>
        <v>46113</v>
      </c>
      <c r="M1053" s="46">
        <f t="shared" si="82"/>
        <v>46113</v>
      </c>
      <c r="Q1053" s="43">
        <f t="shared" si="83"/>
        <v>0</v>
      </c>
      <c r="R1053" s="43">
        <f t="shared" ca="1" si="84"/>
        <v>0</v>
      </c>
      <c r="S1053" s="22"/>
      <c r="T1053" s="25">
        <v>46053</v>
      </c>
    </row>
    <row r="1054" spans="1:20" x14ac:dyDescent="0.3">
      <c r="A1054" s="13">
        <v>1051</v>
      </c>
      <c r="B1054" s="1" t="s">
        <v>259</v>
      </c>
      <c r="C1054" s="39">
        <f t="shared" ca="1" si="85"/>
        <v>0</v>
      </c>
      <c r="D1054" t="s">
        <v>331</v>
      </c>
      <c r="E1054" t="s">
        <v>657</v>
      </c>
      <c r="F1054" s="7" t="s">
        <v>78</v>
      </c>
      <c r="G1054" s="6" t="s">
        <v>681</v>
      </c>
      <c r="H1054" s="2" t="s">
        <v>681</v>
      </c>
      <c r="I1054" s="1">
        <v>30</v>
      </c>
      <c r="J1054" s="1">
        <v>5</v>
      </c>
      <c r="L1054" s="45">
        <f t="shared" si="86"/>
        <v>46084</v>
      </c>
      <c r="M1054" s="46">
        <f t="shared" si="82"/>
        <v>46084</v>
      </c>
      <c r="Q1054" s="43">
        <f t="shared" si="83"/>
        <v>0</v>
      </c>
      <c r="R1054" s="43">
        <f t="shared" ca="1" si="84"/>
        <v>0</v>
      </c>
      <c r="S1054" s="22"/>
      <c r="T1054" s="25">
        <v>46054</v>
      </c>
    </row>
    <row r="1055" spans="1:20" x14ac:dyDescent="0.3">
      <c r="A1055" s="13">
        <v>1052</v>
      </c>
      <c r="B1055" s="1" t="s">
        <v>259</v>
      </c>
      <c r="C1055" s="39">
        <f t="shared" ca="1" si="85"/>
        <v>0</v>
      </c>
      <c r="D1055" t="s">
        <v>331</v>
      </c>
      <c r="E1055" t="s">
        <v>232</v>
      </c>
      <c r="F1055" s="7" t="s">
        <v>78</v>
      </c>
      <c r="G1055" s="6" t="s">
        <v>681</v>
      </c>
      <c r="H1055" s="2" t="s">
        <v>681</v>
      </c>
      <c r="I1055" s="1">
        <v>30</v>
      </c>
      <c r="J1055" s="1">
        <v>5</v>
      </c>
      <c r="L1055" s="45">
        <f t="shared" si="86"/>
        <v>46085</v>
      </c>
      <c r="M1055" s="46">
        <f t="shared" si="82"/>
        <v>46085</v>
      </c>
      <c r="Q1055" s="43">
        <f t="shared" si="83"/>
        <v>0</v>
      </c>
      <c r="R1055" s="43">
        <f t="shared" ca="1" si="84"/>
        <v>0</v>
      </c>
      <c r="S1055" s="22"/>
      <c r="T1055" s="25">
        <v>46055</v>
      </c>
    </row>
    <row r="1056" spans="1:20" x14ac:dyDescent="0.3">
      <c r="A1056" s="13">
        <v>1053</v>
      </c>
      <c r="B1056" s="1" t="s">
        <v>259</v>
      </c>
      <c r="C1056" s="39">
        <f t="shared" ca="1" si="85"/>
        <v>0</v>
      </c>
      <c r="D1056" t="s">
        <v>331</v>
      </c>
      <c r="E1056" t="s">
        <v>658</v>
      </c>
      <c r="F1056" s="7" t="s">
        <v>78</v>
      </c>
      <c r="G1056" s="6" t="s">
        <v>681</v>
      </c>
      <c r="H1056" s="2" t="s">
        <v>681</v>
      </c>
      <c r="I1056" s="1">
        <v>30</v>
      </c>
      <c r="J1056" s="1">
        <v>5</v>
      </c>
      <c r="L1056" s="45">
        <f t="shared" si="86"/>
        <v>46086</v>
      </c>
      <c r="M1056" s="46">
        <f t="shared" si="82"/>
        <v>46086</v>
      </c>
      <c r="Q1056" s="43">
        <f t="shared" si="83"/>
        <v>0</v>
      </c>
      <c r="R1056" s="43">
        <f t="shared" ca="1" si="84"/>
        <v>0</v>
      </c>
      <c r="S1056" s="22"/>
      <c r="T1056" s="25">
        <v>46056</v>
      </c>
    </row>
    <row r="1057" spans="1:20" x14ac:dyDescent="0.3">
      <c r="A1057" s="13">
        <v>1054</v>
      </c>
      <c r="B1057" s="1" t="s">
        <v>259</v>
      </c>
      <c r="C1057" s="39">
        <f t="shared" ca="1" si="85"/>
        <v>0</v>
      </c>
      <c r="D1057" t="s">
        <v>331</v>
      </c>
      <c r="E1057" t="s">
        <v>659</v>
      </c>
      <c r="F1057" s="7" t="s">
        <v>78</v>
      </c>
      <c r="G1057" s="6" t="s">
        <v>681</v>
      </c>
      <c r="H1057" s="2" t="s">
        <v>681</v>
      </c>
      <c r="I1057" s="1">
        <v>30</v>
      </c>
      <c r="J1057" s="1">
        <v>5</v>
      </c>
      <c r="L1057" s="45">
        <f t="shared" si="86"/>
        <v>46087</v>
      </c>
      <c r="M1057" s="46">
        <f t="shared" ref="M1057:M1120" si="87">T1057+I1057</f>
        <v>46087</v>
      </c>
      <c r="Q1057" s="43">
        <f t="shared" ref="Q1057:Q1120" si="88">IF(O1057&lt;&gt;0,1,0)</f>
        <v>0</v>
      </c>
      <c r="R1057" s="43">
        <f t="shared" ref="R1057:R1120" ca="1" si="89">IF(AND(L1057&lt;($A$2+7), L1057&gt;($A$2+6)),1,0)</f>
        <v>0</v>
      </c>
      <c r="S1057" s="22"/>
      <c r="T1057" s="25">
        <v>46057</v>
      </c>
    </row>
    <row r="1058" spans="1:20" x14ac:dyDescent="0.3">
      <c r="A1058" s="13">
        <v>1055</v>
      </c>
      <c r="B1058" s="1" t="s">
        <v>259</v>
      </c>
      <c r="C1058" s="39">
        <f t="shared" ca="1" si="85"/>
        <v>0</v>
      </c>
      <c r="D1058" t="s">
        <v>332</v>
      </c>
      <c r="E1058" t="s">
        <v>660</v>
      </c>
      <c r="F1058" s="7" t="s">
        <v>78</v>
      </c>
      <c r="G1058" s="6" t="s">
        <v>681</v>
      </c>
      <c r="H1058" s="2" t="s">
        <v>681</v>
      </c>
      <c r="I1058" s="1">
        <v>14</v>
      </c>
      <c r="J1058" s="1">
        <v>5</v>
      </c>
      <c r="L1058" s="45">
        <f t="shared" si="86"/>
        <v>46072</v>
      </c>
      <c r="M1058" s="46">
        <f t="shared" si="87"/>
        <v>46072</v>
      </c>
      <c r="Q1058" s="43">
        <f t="shared" si="88"/>
        <v>0</v>
      </c>
      <c r="R1058" s="43">
        <f t="shared" ca="1" si="89"/>
        <v>0</v>
      </c>
      <c r="S1058" s="22"/>
      <c r="T1058" s="25">
        <v>46058</v>
      </c>
    </row>
    <row r="1059" spans="1:20" x14ac:dyDescent="0.3">
      <c r="A1059" s="13">
        <v>1056</v>
      </c>
      <c r="B1059" s="1" t="s">
        <v>259</v>
      </c>
      <c r="C1059" s="39">
        <f t="shared" ca="1" si="85"/>
        <v>0</v>
      </c>
      <c r="D1059" t="s">
        <v>332</v>
      </c>
      <c r="E1059" t="s">
        <v>661</v>
      </c>
      <c r="F1059" s="7" t="s">
        <v>78</v>
      </c>
      <c r="G1059" s="6" t="s">
        <v>681</v>
      </c>
      <c r="H1059" s="2" t="s">
        <v>681</v>
      </c>
      <c r="I1059" s="1">
        <v>14</v>
      </c>
      <c r="J1059" s="1">
        <v>5</v>
      </c>
      <c r="L1059" s="45">
        <f t="shared" si="86"/>
        <v>46073</v>
      </c>
      <c r="M1059" s="46">
        <f t="shared" si="87"/>
        <v>46073</v>
      </c>
      <c r="Q1059" s="43">
        <f t="shared" si="88"/>
        <v>0</v>
      </c>
      <c r="R1059" s="43">
        <f t="shared" ca="1" si="89"/>
        <v>0</v>
      </c>
      <c r="S1059" s="22"/>
      <c r="T1059" s="25">
        <v>46059</v>
      </c>
    </row>
    <row r="1060" spans="1:20" x14ac:dyDescent="0.3">
      <c r="A1060" s="13">
        <v>1057</v>
      </c>
      <c r="B1060" s="1" t="s">
        <v>259</v>
      </c>
      <c r="C1060" s="39">
        <f t="shared" ca="1" si="85"/>
        <v>0</v>
      </c>
      <c r="D1060" t="s">
        <v>332</v>
      </c>
      <c r="E1060" t="s">
        <v>662</v>
      </c>
      <c r="F1060" s="7" t="s">
        <v>78</v>
      </c>
      <c r="G1060" s="6" t="s">
        <v>681</v>
      </c>
      <c r="H1060" s="2" t="s">
        <v>681</v>
      </c>
      <c r="I1060" s="1">
        <v>14</v>
      </c>
      <c r="J1060" s="1">
        <v>5</v>
      </c>
      <c r="L1060" s="45">
        <f t="shared" si="86"/>
        <v>46074</v>
      </c>
      <c r="M1060" s="46">
        <f t="shared" si="87"/>
        <v>46074</v>
      </c>
      <c r="Q1060" s="43">
        <f t="shared" si="88"/>
        <v>0</v>
      </c>
      <c r="R1060" s="43">
        <f t="shared" ca="1" si="89"/>
        <v>0</v>
      </c>
      <c r="S1060" s="22"/>
      <c r="T1060" s="25">
        <v>46060</v>
      </c>
    </row>
    <row r="1061" spans="1:20" x14ac:dyDescent="0.3">
      <c r="A1061" s="13">
        <v>1058</v>
      </c>
      <c r="B1061" s="1" t="s">
        <v>710</v>
      </c>
      <c r="C1061" s="39">
        <f t="shared" ca="1" si="85"/>
        <v>0</v>
      </c>
      <c r="D1061" t="s">
        <v>85</v>
      </c>
      <c r="E1061" t="s">
        <v>663</v>
      </c>
      <c r="F1061" s="7" t="s">
        <v>78</v>
      </c>
      <c r="G1061" s="6" t="s">
        <v>681</v>
      </c>
      <c r="H1061" s="2" t="s">
        <v>681</v>
      </c>
      <c r="I1061" s="1">
        <v>14</v>
      </c>
      <c r="J1061" s="1">
        <v>10</v>
      </c>
      <c r="L1061" s="45">
        <f t="shared" si="86"/>
        <v>46075</v>
      </c>
      <c r="M1061" s="46">
        <f t="shared" si="87"/>
        <v>46075</v>
      </c>
      <c r="Q1061" s="43">
        <f t="shared" si="88"/>
        <v>0</v>
      </c>
      <c r="R1061" s="43">
        <f t="shared" ca="1" si="89"/>
        <v>0</v>
      </c>
      <c r="S1061" s="22"/>
      <c r="T1061" s="25">
        <v>46061</v>
      </c>
    </row>
    <row r="1062" spans="1:20" x14ac:dyDescent="0.3">
      <c r="A1062" s="13">
        <v>1059</v>
      </c>
      <c r="B1062" s="1" t="s">
        <v>710</v>
      </c>
      <c r="C1062" s="39">
        <f t="shared" ca="1" si="85"/>
        <v>0</v>
      </c>
      <c r="D1062" t="s">
        <v>85</v>
      </c>
      <c r="E1062" t="s">
        <v>190</v>
      </c>
      <c r="F1062" s="7" t="s">
        <v>78</v>
      </c>
      <c r="G1062" s="6" t="s">
        <v>681</v>
      </c>
      <c r="H1062" s="2" t="s">
        <v>681</v>
      </c>
      <c r="I1062" s="1">
        <v>14</v>
      </c>
      <c r="J1062" s="1">
        <v>10</v>
      </c>
      <c r="L1062" s="45">
        <f t="shared" si="86"/>
        <v>46076</v>
      </c>
      <c r="M1062" s="46">
        <f t="shared" si="87"/>
        <v>46076</v>
      </c>
      <c r="Q1062" s="43">
        <f t="shared" si="88"/>
        <v>0</v>
      </c>
      <c r="R1062" s="43">
        <f t="shared" ca="1" si="89"/>
        <v>0</v>
      </c>
      <c r="S1062" s="22"/>
      <c r="T1062" s="25">
        <v>46062</v>
      </c>
    </row>
    <row r="1063" spans="1:20" x14ac:dyDescent="0.3">
      <c r="A1063" s="13">
        <v>1060</v>
      </c>
      <c r="B1063" s="1" t="s">
        <v>710</v>
      </c>
      <c r="C1063" s="39">
        <f t="shared" ca="1" si="85"/>
        <v>0</v>
      </c>
      <c r="D1063" t="s">
        <v>85</v>
      </c>
      <c r="E1063" t="s">
        <v>142</v>
      </c>
      <c r="F1063" s="7" t="s">
        <v>78</v>
      </c>
      <c r="G1063" s="6" t="s">
        <v>681</v>
      </c>
      <c r="H1063" s="2" t="s">
        <v>681</v>
      </c>
      <c r="I1063" s="1">
        <v>14</v>
      </c>
      <c r="J1063" s="1">
        <v>10</v>
      </c>
      <c r="L1063" s="45">
        <f t="shared" si="86"/>
        <v>46077</v>
      </c>
      <c r="M1063" s="46">
        <f t="shared" si="87"/>
        <v>46077</v>
      </c>
      <c r="Q1063" s="43">
        <f t="shared" si="88"/>
        <v>0</v>
      </c>
      <c r="R1063" s="43">
        <f t="shared" ca="1" si="89"/>
        <v>0</v>
      </c>
      <c r="S1063" s="22"/>
      <c r="T1063" s="25">
        <v>46063</v>
      </c>
    </row>
    <row r="1064" spans="1:20" x14ac:dyDescent="0.3">
      <c r="A1064" s="13">
        <v>1061</v>
      </c>
      <c r="B1064" s="1" t="s">
        <v>710</v>
      </c>
      <c r="C1064" s="39">
        <f t="shared" ca="1" si="85"/>
        <v>0</v>
      </c>
      <c r="D1064" t="s">
        <v>85</v>
      </c>
      <c r="E1064" t="s">
        <v>664</v>
      </c>
      <c r="F1064" s="7" t="s">
        <v>78</v>
      </c>
      <c r="G1064" s="6" t="s">
        <v>681</v>
      </c>
      <c r="H1064" s="2" t="s">
        <v>681</v>
      </c>
      <c r="I1064" s="1">
        <v>10</v>
      </c>
      <c r="J1064" s="1">
        <v>5</v>
      </c>
      <c r="L1064" s="45">
        <f t="shared" si="86"/>
        <v>46074</v>
      </c>
      <c r="M1064" s="46">
        <f t="shared" si="87"/>
        <v>46074</v>
      </c>
      <c r="Q1064" s="43">
        <f t="shared" si="88"/>
        <v>0</v>
      </c>
      <c r="R1064" s="43">
        <f t="shared" ca="1" si="89"/>
        <v>0</v>
      </c>
      <c r="S1064" s="22"/>
      <c r="T1064" s="25">
        <v>46064</v>
      </c>
    </row>
    <row r="1065" spans="1:20" x14ac:dyDescent="0.3">
      <c r="A1065" s="13">
        <v>1062</v>
      </c>
      <c r="B1065" s="1" t="s">
        <v>710</v>
      </c>
      <c r="C1065" s="39">
        <f t="shared" ca="1" si="85"/>
        <v>0</v>
      </c>
      <c r="D1065" t="s">
        <v>85</v>
      </c>
      <c r="E1065" t="s">
        <v>665</v>
      </c>
      <c r="F1065" s="7" t="s">
        <v>78</v>
      </c>
      <c r="G1065" s="6" t="s">
        <v>681</v>
      </c>
      <c r="H1065" s="2" t="s">
        <v>681</v>
      </c>
      <c r="I1065" s="1">
        <v>14</v>
      </c>
      <c r="J1065" s="1">
        <v>2</v>
      </c>
      <c r="L1065" s="45">
        <f t="shared" si="86"/>
        <v>46079</v>
      </c>
      <c r="M1065" s="46">
        <f t="shared" si="87"/>
        <v>46079</v>
      </c>
      <c r="Q1065" s="43">
        <f t="shared" si="88"/>
        <v>0</v>
      </c>
      <c r="R1065" s="43">
        <f t="shared" ca="1" si="89"/>
        <v>0</v>
      </c>
      <c r="S1065" s="22"/>
      <c r="T1065" s="25">
        <v>46065</v>
      </c>
    </row>
    <row r="1066" spans="1:20" x14ac:dyDescent="0.3">
      <c r="A1066" s="13">
        <v>1063</v>
      </c>
      <c r="B1066" s="1" t="s">
        <v>710</v>
      </c>
      <c r="C1066" s="39">
        <f t="shared" ca="1" si="85"/>
        <v>0</v>
      </c>
      <c r="D1066" t="s">
        <v>85</v>
      </c>
      <c r="E1066" t="s">
        <v>191</v>
      </c>
      <c r="F1066" s="7" t="s">
        <v>78</v>
      </c>
      <c r="G1066" s="6" t="s">
        <v>681</v>
      </c>
      <c r="H1066" s="2" t="s">
        <v>681</v>
      </c>
      <c r="I1066" s="1">
        <v>14</v>
      </c>
      <c r="J1066" s="1">
        <v>10</v>
      </c>
      <c r="L1066" s="45">
        <f t="shared" si="86"/>
        <v>46080</v>
      </c>
      <c r="M1066" s="46">
        <f t="shared" si="87"/>
        <v>46080</v>
      </c>
      <c r="Q1066" s="43">
        <f t="shared" si="88"/>
        <v>0</v>
      </c>
      <c r="R1066" s="43">
        <f t="shared" ca="1" si="89"/>
        <v>0</v>
      </c>
      <c r="S1066" s="22"/>
      <c r="T1066" s="25">
        <v>46066</v>
      </c>
    </row>
    <row r="1067" spans="1:20" x14ac:dyDescent="0.3">
      <c r="A1067" s="13">
        <v>1064</v>
      </c>
      <c r="B1067" s="1" t="s">
        <v>710</v>
      </c>
      <c r="C1067" s="39">
        <f t="shared" ca="1" si="85"/>
        <v>0</v>
      </c>
      <c r="D1067" t="s">
        <v>85</v>
      </c>
      <c r="E1067" t="s">
        <v>192</v>
      </c>
      <c r="F1067" s="7" t="s">
        <v>78</v>
      </c>
      <c r="G1067" s="6" t="s">
        <v>681</v>
      </c>
      <c r="H1067" s="2" t="s">
        <v>681</v>
      </c>
      <c r="I1067" s="1">
        <v>14</v>
      </c>
      <c r="J1067" s="1">
        <v>10</v>
      </c>
      <c r="L1067" s="45">
        <f t="shared" si="86"/>
        <v>46081</v>
      </c>
      <c r="M1067" s="46">
        <f t="shared" si="87"/>
        <v>46081</v>
      </c>
      <c r="Q1067" s="43">
        <f t="shared" si="88"/>
        <v>0</v>
      </c>
      <c r="R1067" s="43">
        <f t="shared" ca="1" si="89"/>
        <v>0</v>
      </c>
      <c r="S1067" s="22"/>
      <c r="T1067" s="25">
        <v>46067</v>
      </c>
    </row>
    <row r="1068" spans="1:20" x14ac:dyDescent="0.3">
      <c r="A1068" s="13">
        <v>1065</v>
      </c>
      <c r="B1068" s="1" t="s">
        <v>710</v>
      </c>
      <c r="C1068" s="39">
        <f t="shared" ca="1" si="85"/>
        <v>0</v>
      </c>
      <c r="D1068" t="s">
        <v>86</v>
      </c>
      <c r="E1068" t="s">
        <v>193</v>
      </c>
      <c r="F1068" s="7" t="s">
        <v>78</v>
      </c>
      <c r="G1068" s="6" t="s">
        <v>681</v>
      </c>
      <c r="H1068" s="2" t="s">
        <v>681</v>
      </c>
      <c r="I1068" s="1">
        <v>14</v>
      </c>
      <c r="J1068" s="1">
        <v>5</v>
      </c>
      <c r="L1068" s="45">
        <f t="shared" si="86"/>
        <v>46082</v>
      </c>
      <c r="M1068" s="46">
        <f t="shared" si="87"/>
        <v>46082</v>
      </c>
      <c r="Q1068" s="43">
        <f t="shared" si="88"/>
        <v>0</v>
      </c>
      <c r="R1068" s="43">
        <f t="shared" ca="1" si="89"/>
        <v>0</v>
      </c>
      <c r="S1068" s="22"/>
      <c r="T1068" s="25">
        <v>46068</v>
      </c>
    </row>
    <row r="1069" spans="1:20" x14ac:dyDescent="0.3">
      <c r="A1069" s="13">
        <v>1066</v>
      </c>
      <c r="B1069" s="1" t="s">
        <v>710</v>
      </c>
      <c r="C1069" s="39">
        <f t="shared" ca="1" si="85"/>
        <v>0</v>
      </c>
      <c r="D1069" t="s">
        <v>86</v>
      </c>
      <c r="E1069" t="s">
        <v>194</v>
      </c>
      <c r="F1069" s="7" t="s">
        <v>78</v>
      </c>
      <c r="G1069" s="6" t="s">
        <v>681</v>
      </c>
      <c r="H1069" s="2" t="s">
        <v>681</v>
      </c>
      <c r="I1069" s="1">
        <v>14</v>
      </c>
      <c r="J1069" s="1">
        <v>5</v>
      </c>
      <c r="L1069" s="45">
        <f t="shared" si="86"/>
        <v>46083</v>
      </c>
      <c r="M1069" s="46">
        <f t="shared" si="87"/>
        <v>46083</v>
      </c>
      <c r="Q1069" s="43">
        <f t="shared" si="88"/>
        <v>0</v>
      </c>
      <c r="R1069" s="43">
        <f t="shared" ca="1" si="89"/>
        <v>0</v>
      </c>
      <c r="S1069" s="22"/>
      <c r="T1069" s="25">
        <v>46069</v>
      </c>
    </row>
    <row r="1070" spans="1:20" x14ac:dyDescent="0.3">
      <c r="A1070" s="13">
        <v>1067</v>
      </c>
      <c r="B1070" s="1" t="s">
        <v>710</v>
      </c>
      <c r="C1070" s="39">
        <f t="shared" ca="1" si="85"/>
        <v>0</v>
      </c>
      <c r="D1070" t="s">
        <v>86</v>
      </c>
      <c r="E1070" t="s">
        <v>195</v>
      </c>
      <c r="F1070" s="7" t="s">
        <v>78</v>
      </c>
      <c r="G1070" s="6" t="s">
        <v>681</v>
      </c>
      <c r="H1070" s="2" t="s">
        <v>681</v>
      </c>
      <c r="I1070" s="1">
        <v>14</v>
      </c>
      <c r="J1070" s="1">
        <v>10</v>
      </c>
      <c r="L1070" s="45">
        <f t="shared" si="86"/>
        <v>46084</v>
      </c>
      <c r="M1070" s="46">
        <f t="shared" si="87"/>
        <v>46084</v>
      </c>
      <c r="Q1070" s="43">
        <f t="shared" si="88"/>
        <v>0</v>
      </c>
      <c r="R1070" s="43">
        <f t="shared" ca="1" si="89"/>
        <v>0</v>
      </c>
      <c r="S1070" s="22"/>
      <c r="T1070" s="25">
        <v>46070</v>
      </c>
    </row>
    <row r="1071" spans="1:20" x14ac:dyDescent="0.3">
      <c r="A1071" s="13">
        <v>1068</v>
      </c>
      <c r="B1071" s="1" t="s">
        <v>710</v>
      </c>
      <c r="C1071" s="39">
        <f t="shared" ca="1" si="85"/>
        <v>0</v>
      </c>
      <c r="D1071" t="s">
        <v>86</v>
      </c>
      <c r="E1071" t="s">
        <v>191</v>
      </c>
      <c r="F1071" s="7" t="s">
        <v>78</v>
      </c>
      <c r="G1071" s="6" t="s">
        <v>681</v>
      </c>
      <c r="H1071" s="2" t="s">
        <v>681</v>
      </c>
      <c r="I1071" s="1">
        <v>14</v>
      </c>
      <c r="J1071" s="1">
        <v>5</v>
      </c>
      <c r="L1071" s="45">
        <f t="shared" si="86"/>
        <v>46085</v>
      </c>
      <c r="M1071" s="46">
        <f t="shared" si="87"/>
        <v>46085</v>
      </c>
      <c r="Q1071" s="43">
        <f t="shared" si="88"/>
        <v>0</v>
      </c>
      <c r="R1071" s="43">
        <f t="shared" ca="1" si="89"/>
        <v>0</v>
      </c>
      <c r="S1071" s="22"/>
      <c r="T1071" s="25">
        <v>46071</v>
      </c>
    </row>
    <row r="1072" spans="1:20" x14ac:dyDescent="0.3">
      <c r="A1072" s="13">
        <v>1069</v>
      </c>
      <c r="B1072" s="1" t="s">
        <v>710</v>
      </c>
      <c r="C1072" s="39">
        <f t="shared" ca="1" si="85"/>
        <v>0</v>
      </c>
      <c r="D1072" t="s">
        <v>86</v>
      </c>
      <c r="E1072" t="s">
        <v>196</v>
      </c>
      <c r="F1072" s="7" t="s">
        <v>78</v>
      </c>
      <c r="G1072" s="6" t="s">
        <v>681</v>
      </c>
      <c r="H1072" s="2" t="s">
        <v>681</v>
      </c>
      <c r="I1072" s="1">
        <v>14</v>
      </c>
      <c r="J1072" s="1">
        <v>5</v>
      </c>
      <c r="L1072" s="45">
        <f t="shared" si="86"/>
        <v>46086</v>
      </c>
      <c r="M1072" s="46">
        <f t="shared" si="87"/>
        <v>46086</v>
      </c>
      <c r="Q1072" s="43">
        <f t="shared" si="88"/>
        <v>0</v>
      </c>
      <c r="R1072" s="43">
        <f t="shared" ca="1" si="89"/>
        <v>0</v>
      </c>
      <c r="S1072" s="22"/>
      <c r="T1072" s="25">
        <v>46072</v>
      </c>
    </row>
    <row r="1073" spans="1:20" x14ac:dyDescent="0.3">
      <c r="A1073" s="13">
        <v>1070</v>
      </c>
      <c r="B1073" s="1" t="s">
        <v>710</v>
      </c>
      <c r="C1073" s="39">
        <f t="shared" ca="1" si="85"/>
        <v>0</v>
      </c>
      <c r="D1073" t="s">
        <v>86</v>
      </c>
      <c r="E1073" t="s">
        <v>666</v>
      </c>
      <c r="F1073" s="7" t="s">
        <v>78</v>
      </c>
      <c r="G1073" s="6" t="s">
        <v>681</v>
      </c>
      <c r="H1073" s="2" t="s">
        <v>681</v>
      </c>
      <c r="I1073" s="1">
        <v>10</v>
      </c>
      <c r="J1073" s="1">
        <v>5</v>
      </c>
      <c r="L1073" s="45">
        <f t="shared" si="86"/>
        <v>46083</v>
      </c>
      <c r="M1073" s="46">
        <f t="shared" si="87"/>
        <v>46083</v>
      </c>
      <c r="Q1073" s="43">
        <f t="shared" si="88"/>
        <v>0</v>
      </c>
      <c r="R1073" s="43">
        <f t="shared" ca="1" si="89"/>
        <v>0</v>
      </c>
      <c r="S1073" s="22"/>
      <c r="T1073" s="25">
        <v>46073</v>
      </c>
    </row>
    <row r="1074" spans="1:20" x14ac:dyDescent="0.3">
      <c r="A1074" s="13">
        <v>1071</v>
      </c>
      <c r="B1074" s="1" t="s">
        <v>710</v>
      </c>
      <c r="C1074" s="39">
        <f t="shared" ca="1" si="85"/>
        <v>0</v>
      </c>
      <c r="D1074" t="s">
        <v>87</v>
      </c>
      <c r="E1074" t="s">
        <v>193</v>
      </c>
      <c r="F1074" s="7" t="s">
        <v>78</v>
      </c>
      <c r="G1074" s="6" t="s">
        <v>681</v>
      </c>
      <c r="H1074" s="2" t="s">
        <v>681</v>
      </c>
      <c r="I1074" s="1">
        <v>14</v>
      </c>
      <c r="J1074" s="1">
        <v>5</v>
      </c>
      <c r="L1074" s="45">
        <f t="shared" si="86"/>
        <v>46088</v>
      </c>
      <c r="M1074" s="46">
        <f t="shared" si="87"/>
        <v>46088</v>
      </c>
      <c r="Q1074" s="43">
        <f t="shared" si="88"/>
        <v>0</v>
      </c>
      <c r="R1074" s="43">
        <f t="shared" ca="1" si="89"/>
        <v>0</v>
      </c>
      <c r="S1074" s="22"/>
      <c r="T1074" s="25">
        <v>46074</v>
      </c>
    </row>
    <row r="1075" spans="1:20" x14ac:dyDescent="0.3">
      <c r="A1075" s="13">
        <v>1072</v>
      </c>
      <c r="B1075" s="1" t="s">
        <v>710</v>
      </c>
      <c r="C1075" s="39">
        <f t="shared" ca="1" si="85"/>
        <v>0</v>
      </c>
      <c r="D1075" t="s">
        <v>87</v>
      </c>
      <c r="E1075" t="s">
        <v>194</v>
      </c>
      <c r="F1075" s="7" t="s">
        <v>78</v>
      </c>
      <c r="G1075" s="6" t="s">
        <v>681</v>
      </c>
      <c r="H1075" s="2" t="s">
        <v>681</v>
      </c>
      <c r="I1075" s="1">
        <v>14</v>
      </c>
      <c r="J1075" s="1">
        <v>5</v>
      </c>
      <c r="L1075" s="45">
        <f t="shared" si="86"/>
        <v>46089</v>
      </c>
      <c r="M1075" s="46">
        <f t="shared" si="87"/>
        <v>46089</v>
      </c>
      <c r="Q1075" s="43">
        <f t="shared" si="88"/>
        <v>0</v>
      </c>
      <c r="R1075" s="43">
        <f t="shared" ca="1" si="89"/>
        <v>0</v>
      </c>
      <c r="S1075" s="22"/>
      <c r="T1075" s="25">
        <v>46075</v>
      </c>
    </row>
    <row r="1076" spans="1:20" x14ac:dyDescent="0.3">
      <c r="A1076" s="13">
        <v>1073</v>
      </c>
      <c r="B1076" s="1" t="s">
        <v>710</v>
      </c>
      <c r="C1076" s="39">
        <f t="shared" ca="1" si="85"/>
        <v>0</v>
      </c>
      <c r="D1076" t="s">
        <v>87</v>
      </c>
      <c r="E1076" t="s">
        <v>195</v>
      </c>
      <c r="F1076" s="7" t="s">
        <v>78</v>
      </c>
      <c r="G1076" s="6" t="s">
        <v>681</v>
      </c>
      <c r="H1076" s="2" t="s">
        <v>681</v>
      </c>
      <c r="I1076" s="1">
        <v>14</v>
      </c>
      <c r="J1076" s="1">
        <v>5</v>
      </c>
      <c r="L1076" s="45">
        <f t="shared" si="86"/>
        <v>46090</v>
      </c>
      <c r="M1076" s="46">
        <f t="shared" si="87"/>
        <v>46090</v>
      </c>
      <c r="Q1076" s="43">
        <f t="shared" si="88"/>
        <v>0</v>
      </c>
      <c r="R1076" s="43">
        <f t="shared" ca="1" si="89"/>
        <v>0</v>
      </c>
      <c r="S1076" s="22"/>
      <c r="T1076" s="25">
        <v>46076</v>
      </c>
    </row>
    <row r="1077" spans="1:20" x14ac:dyDescent="0.3">
      <c r="A1077" s="13">
        <v>1074</v>
      </c>
      <c r="B1077" s="1" t="s">
        <v>710</v>
      </c>
      <c r="C1077" s="39">
        <f t="shared" ca="1" si="85"/>
        <v>0</v>
      </c>
      <c r="D1077" t="s">
        <v>87</v>
      </c>
      <c r="E1077" t="s">
        <v>191</v>
      </c>
      <c r="F1077" s="7" t="s">
        <v>78</v>
      </c>
      <c r="G1077" s="6" t="s">
        <v>681</v>
      </c>
      <c r="H1077" s="2" t="s">
        <v>681</v>
      </c>
      <c r="I1077" s="1">
        <v>14</v>
      </c>
      <c r="J1077" s="1">
        <v>5</v>
      </c>
      <c r="L1077" s="45">
        <f t="shared" si="86"/>
        <v>46091</v>
      </c>
      <c r="M1077" s="46">
        <f t="shared" si="87"/>
        <v>46091</v>
      </c>
      <c r="Q1077" s="43">
        <f t="shared" si="88"/>
        <v>0</v>
      </c>
      <c r="R1077" s="43">
        <f t="shared" ca="1" si="89"/>
        <v>0</v>
      </c>
      <c r="S1077" s="22"/>
      <c r="T1077" s="25">
        <v>46077</v>
      </c>
    </row>
    <row r="1078" spans="1:20" x14ac:dyDescent="0.3">
      <c r="A1078" s="13">
        <v>1075</v>
      </c>
      <c r="B1078" s="1" t="s">
        <v>710</v>
      </c>
      <c r="C1078" s="39">
        <f t="shared" ca="1" si="85"/>
        <v>0</v>
      </c>
      <c r="D1078" t="s">
        <v>87</v>
      </c>
      <c r="E1078" t="s">
        <v>196</v>
      </c>
      <c r="F1078" s="7" t="s">
        <v>78</v>
      </c>
      <c r="G1078" s="6" t="s">
        <v>681</v>
      </c>
      <c r="H1078" s="2" t="s">
        <v>681</v>
      </c>
      <c r="I1078" s="1">
        <v>14</v>
      </c>
      <c r="J1078" s="1">
        <v>5</v>
      </c>
      <c r="L1078" s="45">
        <f t="shared" si="86"/>
        <v>46092</v>
      </c>
      <c r="M1078" s="46">
        <f t="shared" si="87"/>
        <v>46092</v>
      </c>
      <c r="Q1078" s="43">
        <f t="shared" si="88"/>
        <v>0</v>
      </c>
      <c r="R1078" s="43">
        <f t="shared" ca="1" si="89"/>
        <v>0</v>
      </c>
      <c r="S1078" s="22"/>
      <c r="T1078" s="25">
        <v>46078</v>
      </c>
    </row>
    <row r="1079" spans="1:20" x14ac:dyDescent="0.3">
      <c r="A1079" s="13">
        <v>1076</v>
      </c>
      <c r="B1079" s="1" t="s">
        <v>710</v>
      </c>
      <c r="C1079" s="39">
        <f t="shared" ca="1" si="85"/>
        <v>0</v>
      </c>
      <c r="D1079" t="s">
        <v>87</v>
      </c>
      <c r="E1079" t="s">
        <v>666</v>
      </c>
      <c r="F1079" s="7" t="s">
        <v>78</v>
      </c>
      <c r="G1079" s="6" t="s">
        <v>681</v>
      </c>
      <c r="H1079" s="2" t="s">
        <v>681</v>
      </c>
      <c r="I1079" s="1">
        <v>10</v>
      </c>
      <c r="J1079" s="1">
        <v>5</v>
      </c>
      <c r="L1079" s="45">
        <f t="shared" si="86"/>
        <v>46089</v>
      </c>
      <c r="M1079" s="46">
        <f t="shared" si="87"/>
        <v>46089</v>
      </c>
      <c r="Q1079" s="43">
        <f t="shared" si="88"/>
        <v>0</v>
      </c>
      <c r="R1079" s="43">
        <f t="shared" ca="1" si="89"/>
        <v>0</v>
      </c>
      <c r="S1079" s="22"/>
      <c r="T1079" s="25">
        <v>46079</v>
      </c>
    </row>
    <row r="1080" spans="1:20" x14ac:dyDescent="0.3">
      <c r="A1080" s="13">
        <v>1077</v>
      </c>
      <c r="B1080" s="1" t="s">
        <v>710</v>
      </c>
      <c r="C1080" s="39">
        <f t="shared" ca="1" si="85"/>
        <v>0</v>
      </c>
      <c r="D1080" t="s">
        <v>88</v>
      </c>
      <c r="E1080" t="s">
        <v>193</v>
      </c>
      <c r="F1080" s="7" t="s">
        <v>78</v>
      </c>
      <c r="G1080" s="6" t="s">
        <v>681</v>
      </c>
      <c r="H1080" s="2" t="s">
        <v>681</v>
      </c>
      <c r="I1080" s="1">
        <v>14</v>
      </c>
      <c r="J1080" s="1">
        <v>10</v>
      </c>
      <c r="L1080" s="45">
        <f t="shared" si="86"/>
        <v>46094</v>
      </c>
      <c r="M1080" s="46">
        <f t="shared" si="87"/>
        <v>46094</v>
      </c>
      <c r="Q1080" s="43">
        <f t="shared" si="88"/>
        <v>0</v>
      </c>
      <c r="R1080" s="43">
        <f t="shared" ca="1" si="89"/>
        <v>0</v>
      </c>
      <c r="S1080" s="22"/>
      <c r="T1080" s="25">
        <v>46080</v>
      </c>
    </row>
    <row r="1081" spans="1:20" x14ac:dyDescent="0.3">
      <c r="A1081" s="13">
        <v>1078</v>
      </c>
      <c r="B1081" s="1" t="s">
        <v>710</v>
      </c>
      <c r="C1081" s="39">
        <f t="shared" ca="1" si="85"/>
        <v>0</v>
      </c>
      <c r="D1081" t="s">
        <v>88</v>
      </c>
      <c r="E1081" t="s">
        <v>194</v>
      </c>
      <c r="F1081" s="7" t="s">
        <v>78</v>
      </c>
      <c r="G1081" s="6" t="s">
        <v>681</v>
      </c>
      <c r="H1081" s="2" t="s">
        <v>681</v>
      </c>
      <c r="I1081" s="1">
        <v>14</v>
      </c>
      <c r="J1081" s="1">
        <v>10</v>
      </c>
      <c r="L1081" s="45">
        <f t="shared" si="86"/>
        <v>46095</v>
      </c>
      <c r="M1081" s="46">
        <f t="shared" si="87"/>
        <v>46095</v>
      </c>
      <c r="Q1081" s="43">
        <f t="shared" si="88"/>
        <v>0</v>
      </c>
      <c r="R1081" s="43">
        <f t="shared" ca="1" si="89"/>
        <v>0</v>
      </c>
      <c r="S1081" s="22"/>
      <c r="T1081" s="25">
        <v>46081</v>
      </c>
    </row>
    <row r="1082" spans="1:20" x14ac:dyDescent="0.3">
      <c r="A1082" s="13">
        <v>1079</v>
      </c>
      <c r="B1082" s="1" t="s">
        <v>710</v>
      </c>
      <c r="C1082" s="39">
        <f t="shared" ca="1" si="85"/>
        <v>0</v>
      </c>
      <c r="D1082" t="s">
        <v>88</v>
      </c>
      <c r="E1082" t="s">
        <v>195</v>
      </c>
      <c r="F1082" s="7" t="s">
        <v>78</v>
      </c>
      <c r="G1082" s="6" t="s">
        <v>681</v>
      </c>
      <c r="H1082" s="2" t="s">
        <v>681</v>
      </c>
      <c r="I1082" s="1">
        <v>14</v>
      </c>
      <c r="J1082" s="1">
        <v>10</v>
      </c>
      <c r="L1082" s="45">
        <f t="shared" si="86"/>
        <v>46096</v>
      </c>
      <c r="M1082" s="46">
        <f t="shared" si="87"/>
        <v>46096</v>
      </c>
      <c r="Q1082" s="43">
        <f t="shared" si="88"/>
        <v>0</v>
      </c>
      <c r="R1082" s="43">
        <f t="shared" ca="1" si="89"/>
        <v>0</v>
      </c>
      <c r="S1082" s="22"/>
      <c r="T1082" s="25">
        <v>46082</v>
      </c>
    </row>
    <row r="1083" spans="1:20" x14ac:dyDescent="0.3">
      <c r="A1083" s="13">
        <v>1080</v>
      </c>
      <c r="B1083" s="1" t="s">
        <v>710</v>
      </c>
      <c r="C1083" s="39">
        <f t="shared" ca="1" si="85"/>
        <v>0</v>
      </c>
      <c r="D1083" t="s">
        <v>88</v>
      </c>
      <c r="E1083" t="s">
        <v>191</v>
      </c>
      <c r="F1083" s="7" t="s">
        <v>78</v>
      </c>
      <c r="G1083" s="6" t="s">
        <v>681</v>
      </c>
      <c r="H1083" s="2" t="s">
        <v>681</v>
      </c>
      <c r="I1083" s="1">
        <v>14</v>
      </c>
      <c r="J1083" s="1">
        <v>10</v>
      </c>
      <c r="L1083" s="45">
        <f t="shared" si="86"/>
        <v>46097</v>
      </c>
      <c r="M1083" s="46">
        <f t="shared" si="87"/>
        <v>46097</v>
      </c>
      <c r="Q1083" s="43">
        <f t="shared" si="88"/>
        <v>0</v>
      </c>
      <c r="R1083" s="43">
        <f t="shared" ca="1" si="89"/>
        <v>0</v>
      </c>
      <c r="S1083" s="22"/>
      <c r="T1083" s="25">
        <v>46083</v>
      </c>
    </row>
    <row r="1084" spans="1:20" x14ac:dyDescent="0.3">
      <c r="A1084" s="13">
        <v>1081</v>
      </c>
      <c r="B1084" s="1" t="s">
        <v>710</v>
      </c>
      <c r="C1084" s="39">
        <f t="shared" ca="1" si="85"/>
        <v>0</v>
      </c>
      <c r="D1084" t="s">
        <v>88</v>
      </c>
      <c r="E1084" t="s">
        <v>196</v>
      </c>
      <c r="F1084" s="7" t="s">
        <v>78</v>
      </c>
      <c r="G1084" s="6" t="s">
        <v>681</v>
      </c>
      <c r="H1084" s="2" t="s">
        <v>681</v>
      </c>
      <c r="I1084" s="1">
        <v>14</v>
      </c>
      <c r="J1084" s="1">
        <v>10</v>
      </c>
      <c r="L1084" s="45">
        <f t="shared" si="86"/>
        <v>46098</v>
      </c>
      <c r="M1084" s="46">
        <f t="shared" si="87"/>
        <v>46098</v>
      </c>
      <c r="Q1084" s="43">
        <f t="shared" si="88"/>
        <v>0</v>
      </c>
      <c r="R1084" s="43">
        <f t="shared" ca="1" si="89"/>
        <v>0</v>
      </c>
      <c r="S1084" s="22"/>
      <c r="T1084" s="25">
        <v>46084</v>
      </c>
    </row>
    <row r="1085" spans="1:20" x14ac:dyDescent="0.3">
      <c r="A1085" s="13">
        <v>1082</v>
      </c>
      <c r="B1085" s="1" t="s">
        <v>710</v>
      </c>
      <c r="C1085" s="39">
        <f t="shared" ca="1" si="85"/>
        <v>0</v>
      </c>
      <c r="D1085" t="s">
        <v>88</v>
      </c>
      <c r="E1085" t="s">
        <v>666</v>
      </c>
      <c r="F1085" s="7" t="s">
        <v>78</v>
      </c>
      <c r="G1085" s="6" t="s">
        <v>681</v>
      </c>
      <c r="H1085" s="2" t="s">
        <v>681</v>
      </c>
      <c r="I1085" s="1">
        <v>10</v>
      </c>
      <c r="J1085" s="1">
        <v>5</v>
      </c>
      <c r="L1085" s="45">
        <f t="shared" si="86"/>
        <v>46095</v>
      </c>
      <c r="M1085" s="46">
        <f t="shared" si="87"/>
        <v>46095</v>
      </c>
      <c r="Q1085" s="43">
        <f t="shared" si="88"/>
        <v>0</v>
      </c>
      <c r="R1085" s="43">
        <f t="shared" ca="1" si="89"/>
        <v>0</v>
      </c>
      <c r="S1085" s="22"/>
      <c r="T1085" s="25">
        <v>46085</v>
      </c>
    </row>
    <row r="1086" spans="1:20" x14ac:dyDescent="0.3">
      <c r="A1086" s="13">
        <v>1083</v>
      </c>
      <c r="B1086" s="1" t="s">
        <v>710</v>
      </c>
      <c r="C1086" s="39">
        <f t="shared" ca="1" si="85"/>
        <v>0</v>
      </c>
      <c r="D1086" t="s">
        <v>89</v>
      </c>
      <c r="E1086" t="s">
        <v>193</v>
      </c>
      <c r="F1086" s="7" t="s">
        <v>78</v>
      </c>
      <c r="G1086" s="6" t="s">
        <v>681</v>
      </c>
      <c r="H1086" s="2" t="s">
        <v>681</v>
      </c>
      <c r="I1086" s="1">
        <v>14</v>
      </c>
      <c r="J1086" s="1">
        <v>10</v>
      </c>
      <c r="L1086" s="45">
        <f t="shared" si="86"/>
        <v>46100</v>
      </c>
      <c r="M1086" s="46">
        <f t="shared" si="87"/>
        <v>46100</v>
      </c>
      <c r="Q1086" s="43">
        <f t="shared" si="88"/>
        <v>0</v>
      </c>
      <c r="R1086" s="43">
        <f t="shared" ca="1" si="89"/>
        <v>0</v>
      </c>
      <c r="S1086" s="22"/>
      <c r="T1086" s="25">
        <v>46086</v>
      </c>
    </row>
    <row r="1087" spans="1:20" x14ac:dyDescent="0.3">
      <c r="A1087" s="13">
        <v>1084</v>
      </c>
      <c r="B1087" s="1" t="s">
        <v>710</v>
      </c>
      <c r="C1087" s="39">
        <f t="shared" ca="1" si="85"/>
        <v>0</v>
      </c>
      <c r="D1087" t="s">
        <v>89</v>
      </c>
      <c r="E1087" t="s">
        <v>194</v>
      </c>
      <c r="F1087" s="7" t="s">
        <v>78</v>
      </c>
      <c r="G1087" s="6" t="s">
        <v>681</v>
      </c>
      <c r="H1087" s="2" t="s">
        <v>681</v>
      </c>
      <c r="I1087" s="1">
        <v>14</v>
      </c>
      <c r="J1087" s="1">
        <v>10</v>
      </c>
      <c r="L1087" s="45">
        <f t="shared" si="86"/>
        <v>46101</v>
      </c>
      <c r="M1087" s="46">
        <f t="shared" si="87"/>
        <v>46101</v>
      </c>
      <c r="Q1087" s="43">
        <f t="shared" si="88"/>
        <v>0</v>
      </c>
      <c r="R1087" s="43">
        <f t="shared" ca="1" si="89"/>
        <v>0</v>
      </c>
      <c r="S1087" s="22"/>
      <c r="T1087" s="25">
        <v>46087</v>
      </c>
    </row>
    <row r="1088" spans="1:20" x14ac:dyDescent="0.3">
      <c r="A1088" s="13">
        <v>1085</v>
      </c>
      <c r="B1088" s="1" t="s">
        <v>710</v>
      </c>
      <c r="C1088" s="39">
        <f t="shared" ca="1" si="85"/>
        <v>0</v>
      </c>
      <c r="D1088" t="s">
        <v>89</v>
      </c>
      <c r="E1088" t="s">
        <v>195</v>
      </c>
      <c r="F1088" s="7" t="s">
        <v>78</v>
      </c>
      <c r="G1088" s="6" t="s">
        <v>681</v>
      </c>
      <c r="H1088" s="2" t="s">
        <v>681</v>
      </c>
      <c r="I1088" s="1">
        <v>14</v>
      </c>
      <c r="J1088" s="1">
        <v>10</v>
      </c>
      <c r="L1088" s="45">
        <f t="shared" si="86"/>
        <v>46102</v>
      </c>
      <c r="M1088" s="46">
        <f t="shared" si="87"/>
        <v>46102</v>
      </c>
      <c r="Q1088" s="43">
        <f t="shared" si="88"/>
        <v>0</v>
      </c>
      <c r="R1088" s="43">
        <f t="shared" ca="1" si="89"/>
        <v>0</v>
      </c>
      <c r="S1088" s="22"/>
      <c r="T1088" s="25">
        <v>46088</v>
      </c>
    </row>
    <row r="1089" spans="1:20" x14ac:dyDescent="0.3">
      <c r="A1089" s="13">
        <v>1086</v>
      </c>
      <c r="B1089" s="1" t="s">
        <v>710</v>
      </c>
      <c r="C1089" s="39">
        <f t="shared" ca="1" si="85"/>
        <v>0</v>
      </c>
      <c r="D1089" t="s">
        <v>89</v>
      </c>
      <c r="E1089" t="s">
        <v>191</v>
      </c>
      <c r="F1089" s="7" t="s">
        <v>78</v>
      </c>
      <c r="G1089" s="6" t="s">
        <v>681</v>
      </c>
      <c r="H1089" s="2" t="s">
        <v>681</v>
      </c>
      <c r="I1089" s="1">
        <v>14</v>
      </c>
      <c r="J1089" s="1">
        <v>10</v>
      </c>
      <c r="L1089" s="45">
        <f t="shared" si="86"/>
        <v>46103</v>
      </c>
      <c r="M1089" s="46">
        <f t="shared" si="87"/>
        <v>46103</v>
      </c>
      <c r="Q1089" s="43">
        <f t="shared" si="88"/>
        <v>0</v>
      </c>
      <c r="R1089" s="43">
        <f t="shared" ca="1" si="89"/>
        <v>0</v>
      </c>
      <c r="S1089" s="22"/>
      <c r="T1089" s="25">
        <v>46089</v>
      </c>
    </row>
    <row r="1090" spans="1:20" x14ac:dyDescent="0.3">
      <c r="A1090" s="13">
        <v>1087</v>
      </c>
      <c r="B1090" s="1" t="s">
        <v>710</v>
      </c>
      <c r="C1090" s="39">
        <f t="shared" ca="1" si="85"/>
        <v>0</v>
      </c>
      <c r="D1090" t="s">
        <v>89</v>
      </c>
      <c r="E1090" t="s">
        <v>196</v>
      </c>
      <c r="F1090" s="7" t="s">
        <v>78</v>
      </c>
      <c r="G1090" s="6" t="s">
        <v>681</v>
      </c>
      <c r="H1090" s="2" t="s">
        <v>681</v>
      </c>
      <c r="I1090" s="1">
        <v>14</v>
      </c>
      <c r="J1090" s="1">
        <v>10</v>
      </c>
      <c r="L1090" s="45">
        <f t="shared" si="86"/>
        <v>46104</v>
      </c>
      <c r="M1090" s="46">
        <f t="shared" si="87"/>
        <v>46104</v>
      </c>
      <c r="Q1090" s="43">
        <f t="shared" si="88"/>
        <v>0</v>
      </c>
      <c r="R1090" s="43">
        <f t="shared" ca="1" si="89"/>
        <v>0</v>
      </c>
      <c r="S1090" s="22"/>
      <c r="T1090" s="25">
        <v>46090</v>
      </c>
    </row>
    <row r="1091" spans="1:20" x14ac:dyDescent="0.3">
      <c r="A1091" s="13">
        <v>1088</v>
      </c>
      <c r="B1091" s="1" t="s">
        <v>710</v>
      </c>
      <c r="C1091" s="39">
        <f t="shared" ca="1" si="85"/>
        <v>0</v>
      </c>
      <c r="D1091" t="s">
        <v>89</v>
      </c>
      <c r="E1091" t="s">
        <v>666</v>
      </c>
      <c r="F1091" s="7" t="s">
        <v>78</v>
      </c>
      <c r="G1091" s="6" t="s">
        <v>681</v>
      </c>
      <c r="H1091" s="2" t="s">
        <v>681</v>
      </c>
      <c r="I1091" s="1">
        <v>10</v>
      </c>
      <c r="J1091" s="1">
        <v>5</v>
      </c>
      <c r="L1091" s="45">
        <f t="shared" si="86"/>
        <v>46101</v>
      </c>
      <c r="M1091" s="46">
        <f t="shared" si="87"/>
        <v>46101</v>
      </c>
      <c r="Q1091" s="43">
        <f t="shared" si="88"/>
        <v>0</v>
      </c>
      <c r="R1091" s="43">
        <f t="shared" ca="1" si="89"/>
        <v>0</v>
      </c>
      <c r="S1091" s="22"/>
      <c r="T1091" s="25">
        <v>46091</v>
      </c>
    </row>
    <row r="1092" spans="1:20" x14ac:dyDescent="0.3">
      <c r="A1092" s="13">
        <v>1089</v>
      </c>
      <c r="B1092" s="1" t="s">
        <v>710</v>
      </c>
      <c r="C1092" s="39">
        <f t="shared" ca="1" si="85"/>
        <v>0</v>
      </c>
      <c r="D1092" t="s">
        <v>90</v>
      </c>
      <c r="E1092" t="s">
        <v>193</v>
      </c>
      <c r="F1092" s="7" t="s">
        <v>78</v>
      </c>
      <c r="G1092" s="6" t="s">
        <v>681</v>
      </c>
      <c r="H1092" s="2" t="s">
        <v>681</v>
      </c>
      <c r="I1092" s="1">
        <v>14</v>
      </c>
      <c r="J1092" s="1">
        <v>10</v>
      </c>
      <c r="L1092" s="45">
        <f t="shared" si="86"/>
        <v>46106</v>
      </c>
      <c r="M1092" s="46">
        <f t="shared" si="87"/>
        <v>46106</v>
      </c>
      <c r="Q1092" s="43">
        <f t="shared" si="88"/>
        <v>0</v>
      </c>
      <c r="R1092" s="43">
        <f t="shared" ca="1" si="89"/>
        <v>0</v>
      </c>
      <c r="S1092" s="22"/>
      <c r="T1092" s="25">
        <v>46092</v>
      </c>
    </row>
    <row r="1093" spans="1:20" x14ac:dyDescent="0.3">
      <c r="A1093" s="13">
        <v>1090</v>
      </c>
      <c r="B1093" s="1" t="s">
        <v>710</v>
      </c>
      <c r="C1093" s="39">
        <f t="shared" ref="C1093:C1156" ca="1" si="90">IF(L1093&lt;=$A$2,1,0)</f>
        <v>0</v>
      </c>
      <c r="D1093" t="s">
        <v>90</v>
      </c>
      <c r="E1093" t="s">
        <v>194</v>
      </c>
      <c r="F1093" s="7" t="s">
        <v>78</v>
      </c>
      <c r="G1093" s="6" t="s">
        <v>681</v>
      </c>
      <c r="H1093" s="2" t="s">
        <v>681</v>
      </c>
      <c r="I1093" s="1">
        <v>14</v>
      </c>
      <c r="J1093" s="1">
        <v>10</v>
      </c>
      <c r="L1093" s="45">
        <f t="shared" ref="L1093:L1156" si="91">IF(N1093="",M1093,N1093)</f>
        <v>46107</v>
      </c>
      <c r="M1093" s="46">
        <f t="shared" si="87"/>
        <v>46107</v>
      </c>
      <c r="Q1093" s="43">
        <f t="shared" si="88"/>
        <v>0</v>
      </c>
      <c r="R1093" s="43">
        <f t="shared" ca="1" si="89"/>
        <v>0</v>
      </c>
      <c r="S1093" s="22"/>
      <c r="T1093" s="25">
        <v>46093</v>
      </c>
    </row>
    <row r="1094" spans="1:20" x14ac:dyDescent="0.3">
      <c r="A1094" s="13">
        <v>1091</v>
      </c>
      <c r="B1094" s="1" t="s">
        <v>710</v>
      </c>
      <c r="C1094" s="39">
        <f t="shared" ca="1" si="90"/>
        <v>0</v>
      </c>
      <c r="D1094" t="s">
        <v>90</v>
      </c>
      <c r="E1094" t="s">
        <v>195</v>
      </c>
      <c r="F1094" s="7" t="s">
        <v>78</v>
      </c>
      <c r="G1094" s="6" t="s">
        <v>681</v>
      </c>
      <c r="H1094" s="2" t="s">
        <v>681</v>
      </c>
      <c r="I1094" s="1">
        <v>14</v>
      </c>
      <c r="J1094" s="1">
        <v>10</v>
      </c>
      <c r="L1094" s="45">
        <f t="shared" si="91"/>
        <v>46108</v>
      </c>
      <c r="M1094" s="46">
        <f t="shared" si="87"/>
        <v>46108</v>
      </c>
      <c r="Q1094" s="43">
        <f t="shared" si="88"/>
        <v>0</v>
      </c>
      <c r="R1094" s="43">
        <f t="shared" ca="1" si="89"/>
        <v>0</v>
      </c>
      <c r="S1094" s="22"/>
      <c r="T1094" s="25">
        <v>46094</v>
      </c>
    </row>
    <row r="1095" spans="1:20" x14ac:dyDescent="0.3">
      <c r="A1095" s="13">
        <v>1092</v>
      </c>
      <c r="B1095" s="1" t="s">
        <v>710</v>
      </c>
      <c r="C1095" s="39">
        <f t="shared" ca="1" si="90"/>
        <v>0</v>
      </c>
      <c r="D1095" t="s">
        <v>90</v>
      </c>
      <c r="E1095" t="s">
        <v>191</v>
      </c>
      <c r="F1095" s="7" t="s">
        <v>78</v>
      </c>
      <c r="G1095" s="6" t="s">
        <v>681</v>
      </c>
      <c r="H1095" s="2" t="s">
        <v>681</v>
      </c>
      <c r="I1095" s="1">
        <v>14</v>
      </c>
      <c r="J1095" s="1">
        <v>10</v>
      </c>
      <c r="L1095" s="45">
        <f t="shared" si="91"/>
        <v>46109</v>
      </c>
      <c r="M1095" s="46">
        <f t="shared" si="87"/>
        <v>46109</v>
      </c>
      <c r="Q1095" s="43">
        <f t="shared" si="88"/>
        <v>0</v>
      </c>
      <c r="R1095" s="43">
        <f t="shared" ca="1" si="89"/>
        <v>0</v>
      </c>
      <c r="S1095" s="22"/>
      <c r="T1095" s="25">
        <v>46095</v>
      </c>
    </row>
    <row r="1096" spans="1:20" x14ac:dyDescent="0.3">
      <c r="A1096" s="13">
        <v>1093</v>
      </c>
      <c r="B1096" s="1" t="s">
        <v>710</v>
      </c>
      <c r="C1096" s="39">
        <f t="shared" ca="1" si="90"/>
        <v>0</v>
      </c>
      <c r="D1096" t="s">
        <v>90</v>
      </c>
      <c r="E1096" t="s">
        <v>196</v>
      </c>
      <c r="F1096" s="7" t="s">
        <v>78</v>
      </c>
      <c r="G1096" s="6" t="s">
        <v>681</v>
      </c>
      <c r="H1096" s="2" t="s">
        <v>681</v>
      </c>
      <c r="I1096" s="1">
        <v>14</v>
      </c>
      <c r="J1096" s="1">
        <v>10</v>
      </c>
      <c r="L1096" s="45">
        <f t="shared" si="91"/>
        <v>46110</v>
      </c>
      <c r="M1096" s="46">
        <f t="shared" si="87"/>
        <v>46110</v>
      </c>
      <c r="Q1096" s="43">
        <f t="shared" si="88"/>
        <v>0</v>
      </c>
      <c r="R1096" s="43">
        <f t="shared" ca="1" si="89"/>
        <v>0</v>
      </c>
      <c r="S1096" s="22"/>
      <c r="T1096" s="25">
        <v>46096</v>
      </c>
    </row>
    <row r="1097" spans="1:20" x14ac:dyDescent="0.3">
      <c r="A1097" s="13">
        <v>1094</v>
      </c>
      <c r="B1097" s="1" t="s">
        <v>710</v>
      </c>
      <c r="C1097" s="39">
        <f t="shared" ca="1" si="90"/>
        <v>0</v>
      </c>
      <c r="D1097" t="s">
        <v>90</v>
      </c>
      <c r="E1097" t="s">
        <v>666</v>
      </c>
      <c r="F1097" s="7" t="s">
        <v>78</v>
      </c>
      <c r="G1097" s="6" t="s">
        <v>681</v>
      </c>
      <c r="H1097" s="2" t="s">
        <v>681</v>
      </c>
      <c r="I1097" s="1">
        <v>10</v>
      </c>
      <c r="J1097" s="1">
        <v>5</v>
      </c>
      <c r="L1097" s="45">
        <f t="shared" si="91"/>
        <v>46107</v>
      </c>
      <c r="M1097" s="46">
        <f t="shared" si="87"/>
        <v>46107</v>
      </c>
      <c r="Q1097" s="43">
        <f t="shared" si="88"/>
        <v>0</v>
      </c>
      <c r="R1097" s="43">
        <f t="shared" ca="1" si="89"/>
        <v>0</v>
      </c>
      <c r="S1097" s="22"/>
      <c r="T1097" s="25">
        <v>46097</v>
      </c>
    </row>
    <row r="1098" spans="1:20" x14ac:dyDescent="0.3">
      <c r="A1098" s="13">
        <v>1095</v>
      </c>
      <c r="B1098" s="1" t="s">
        <v>710</v>
      </c>
      <c r="C1098" s="39">
        <f t="shared" ca="1" si="90"/>
        <v>0</v>
      </c>
      <c r="D1098" t="s">
        <v>91</v>
      </c>
      <c r="E1098" t="s">
        <v>193</v>
      </c>
      <c r="F1098" s="7" t="s">
        <v>78</v>
      </c>
      <c r="G1098" s="6" t="s">
        <v>681</v>
      </c>
      <c r="H1098" s="2" t="s">
        <v>681</v>
      </c>
      <c r="I1098" s="1">
        <v>14</v>
      </c>
      <c r="J1098" s="1">
        <v>10</v>
      </c>
      <c r="L1098" s="45">
        <f t="shared" si="91"/>
        <v>46112</v>
      </c>
      <c r="M1098" s="46">
        <f t="shared" si="87"/>
        <v>46112</v>
      </c>
      <c r="Q1098" s="43">
        <f t="shared" si="88"/>
        <v>0</v>
      </c>
      <c r="R1098" s="43">
        <f t="shared" ca="1" si="89"/>
        <v>0</v>
      </c>
      <c r="S1098" s="22"/>
      <c r="T1098" s="25">
        <v>46098</v>
      </c>
    </row>
    <row r="1099" spans="1:20" x14ac:dyDescent="0.3">
      <c r="A1099" s="13">
        <v>1096</v>
      </c>
      <c r="B1099" s="1" t="s">
        <v>710</v>
      </c>
      <c r="C1099" s="39">
        <f t="shared" ca="1" si="90"/>
        <v>0</v>
      </c>
      <c r="D1099" t="s">
        <v>91</v>
      </c>
      <c r="E1099" t="s">
        <v>194</v>
      </c>
      <c r="F1099" s="7" t="s">
        <v>78</v>
      </c>
      <c r="G1099" s="6" t="s">
        <v>681</v>
      </c>
      <c r="H1099" s="2" t="s">
        <v>681</v>
      </c>
      <c r="I1099" s="1">
        <v>14</v>
      </c>
      <c r="J1099" s="1">
        <v>10</v>
      </c>
      <c r="L1099" s="45">
        <f t="shared" si="91"/>
        <v>46113</v>
      </c>
      <c r="M1099" s="46">
        <f t="shared" si="87"/>
        <v>46113</v>
      </c>
      <c r="Q1099" s="43">
        <f t="shared" si="88"/>
        <v>0</v>
      </c>
      <c r="R1099" s="43">
        <f t="shared" ca="1" si="89"/>
        <v>0</v>
      </c>
      <c r="S1099" s="22"/>
      <c r="T1099" s="25">
        <v>46099</v>
      </c>
    </row>
    <row r="1100" spans="1:20" x14ac:dyDescent="0.3">
      <c r="A1100" s="13">
        <v>1097</v>
      </c>
      <c r="B1100" s="1" t="s">
        <v>710</v>
      </c>
      <c r="C1100" s="39">
        <f t="shared" ca="1" si="90"/>
        <v>0</v>
      </c>
      <c r="D1100" t="s">
        <v>91</v>
      </c>
      <c r="E1100" t="s">
        <v>195</v>
      </c>
      <c r="F1100" s="7" t="s">
        <v>78</v>
      </c>
      <c r="G1100" s="6" t="s">
        <v>681</v>
      </c>
      <c r="H1100" s="2" t="s">
        <v>681</v>
      </c>
      <c r="I1100" s="1">
        <v>14</v>
      </c>
      <c r="J1100" s="1">
        <v>10</v>
      </c>
      <c r="L1100" s="45">
        <f t="shared" si="91"/>
        <v>46114</v>
      </c>
      <c r="M1100" s="46">
        <f t="shared" si="87"/>
        <v>46114</v>
      </c>
      <c r="Q1100" s="43">
        <f t="shared" si="88"/>
        <v>0</v>
      </c>
      <c r="R1100" s="43">
        <f t="shared" ca="1" si="89"/>
        <v>0</v>
      </c>
      <c r="S1100" s="22"/>
      <c r="T1100" s="25">
        <v>46100</v>
      </c>
    </row>
    <row r="1101" spans="1:20" x14ac:dyDescent="0.3">
      <c r="A1101" s="13">
        <v>1098</v>
      </c>
      <c r="B1101" s="1" t="s">
        <v>710</v>
      </c>
      <c r="C1101" s="39">
        <f t="shared" ca="1" si="90"/>
        <v>0</v>
      </c>
      <c r="D1101" t="s">
        <v>91</v>
      </c>
      <c r="E1101" t="s">
        <v>191</v>
      </c>
      <c r="F1101" s="7" t="s">
        <v>78</v>
      </c>
      <c r="G1101" s="6" t="s">
        <v>681</v>
      </c>
      <c r="H1101" s="2" t="s">
        <v>681</v>
      </c>
      <c r="I1101" s="1">
        <v>14</v>
      </c>
      <c r="J1101" s="1">
        <v>10</v>
      </c>
      <c r="L1101" s="45">
        <f t="shared" si="91"/>
        <v>46115</v>
      </c>
      <c r="M1101" s="46">
        <f t="shared" si="87"/>
        <v>46115</v>
      </c>
      <c r="Q1101" s="43">
        <f t="shared" si="88"/>
        <v>0</v>
      </c>
      <c r="R1101" s="43">
        <f t="shared" ca="1" si="89"/>
        <v>0</v>
      </c>
      <c r="S1101" s="22"/>
      <c r="T1101" s="25">
        <v>46101</v>
      </c>
    </row>
    <row r="1102" spans="1:20" x14ac:dyDescent="0.3">
      <c r="A1102" s="13">
        <v>1099</v>
      </c>
      <c r="B1102" s="1" t="s">
        <v>710</v>
      </c>
      <c r="C1102" s="39">
        <f t="shared" ca="1" si="90"/>
        <v>0</v>
      </c>
      <c r="D1102" t="s">
        <v>91</v>
      </c>
      <c r="E1102" t="s">
        <v>196</v>
      </c>
      <c r="F1102" s="7" t="s">
        <v>78</v>
      </c>
      <c r="G1102" s="6" t="s">
        <v>681</v>
      </c>
      <c r="H1102" s="2" t="s">
        <v>681</v>
      </c>
      <c r="I1102" s="1">
        <v>14</v>
      </c>
      <c r="J1102" s="1">
        <v>10</v>
      </c>
      <c r="L1102" s="45">
        <f t="shared" si="91"/>
        <v>46116</v>
      </c>
      <c r="M1102" s="46">
        <f t="shared" si="87"/>
        <v>46116</v>
      </c>
      <c r="Q1102" s="43">
        <f t="shared" si="88"/>
        <v>0</v>
      </c>
      <c r="R1102" s="43">
        <f t="shared" ca="1" si="89"/>
        <v>0</v>
      </c>
      <c r="S1102" s="22"/>
      <c r="T1102" s="25">
        <v>46102</v>
      </c>
    </row>
    <row r="1103" spans="1:20" x14ac:dyDescent="0.3">
      <c r="A1103" s="13">
        <v>1100</v>
      </c>
      <c r="B1103" s="1" t="s">
        <v>710</v>
      </c>
      <c r="C1103" s="39">
        <f t="shared" ca="1" si="90"/>
        <v>0</v>
      </c>
      <c r="D1103" t="s">
        <v>91</v>
      </c>
      <c r="E1103" t="s">
        <v>666</v>
      </c>
      <c r="F1103" s="7" t="s">
        <v>78</v>
      </c>
      <c r="G1103" s="6" t="s">
        <v>681</v>
      </c>
      <c r="H1103" s="2" t="s">
        <v>681</v>
      </c>
      <c r="I1103" s="1">
        <v>10</v>
      </c>
      <c r="J1103" s="1">
        <v>5</v>
      </c>
      <c r="L1103" s="45">
        <f t="shared" si="91"/>
        <v>46113</v>
      </c>
      <c r="M1103" s="46">
        <f t="shared" si="87"/>
        <v>46113</v>
      </c>
      <c r="Q1103" s="43">
        <f t="shared" si="88"/>
        <v>0</v>
      </c>
      <c r="R1103" s="43">
        <f t="shared" ca="1" si="89"/>
        <v>0</v>
      </c>
      <c r="S1103" s="22"/>
      <c r="T1103" s="25">
        <v>46103</v>
      </c>
    </row>
    <row r="1104" spans="1:20" x14ac:dyDescent="0.3">
      <c r="A1104" s="13">
        <v>1101</v>
      </c>
      <c r="B1104" s="1" t="s">
        <v>710</v>
      </c>
      <c r="C1104" s="39">
        <f t="shared" ca="1" si="90"/>
        <v>0</v>
      </c>
      <c r="D1104" t="s">
        <v>92</v>
      </c>
      <c r="E1104" t="s">
        <v>193</v>
      </c>
      <c r="F1104" s="7" t="s">
        <v>78</v>
      </c>
      <c r="G1104" s="6" t="s">
        <v>681</v>
      </c>
      <c r="H1104" s="2" t="s">
        <v>681</v>
      </c>
      <c r="I1104" s="1">
        <v>14</v>
      </c>
      <c r="J1104" s="1">
        <v>10</v>
      </c>
      <c r="L1104" s="45">
        <f t="shared" si="91"/>
        <v>46118</v>
      </c>
      <c r="M1104" s="46">
        <f t="shared" si="87"/>
        <v>46118</v>
      </c>
      <c r="Q1104" s="43">
        <f t="shared" si="88"/>
        <v>0</v>
      </c>
      <c r="R1104" s="43">
        <f t="shared" ca="1" si="89"/>
        <v>0</v>
      </c>
      <c r="S1104" s="22"/>
      <c r="T1104" s="25">
        <v>46104</v>
      </c>
    </row>
    <row r="1105" spans="1:20" x14ac:dyDescent="0.3">
      <c r="A1105" s="13">
        <v>1102</v>
      </c>
      <c r="B1105" s="1" t="s">
        <v>710</v>
      </c>
      <c r="C1105" s="39">
        <f t="shared" ca="1" si="90"/>
        <v>0</v>
      </c>
      <c r="D1105" t="s">
        <v>92</v>
      </c>
      <c r="E1105" t="s">
        <v>194</v>
      </c>
      <c r="F1105" s="7" t="s">
        <v>78</v>
      </c>
      <c r="G1105" s="6" t="s">
        <v>681</v>
      </c>
      <c r="H1105" s="2" t="s">
        <v>681</v>
      </c>
      <c r="I1105" s="1">
        <v>14</v>
      </c>
      <c r="J1105" s="1">
        <v>10</v>
      </c>
      <c r="L1105" s="45">
        <f t="shared" si="91"/>
        <v>46119</v>
      </c>
      <c r="M1105" s="46">
        <f t="shared" si="87"/>
        <v>46119</v>
      </c>
      <c r="Q1105" s="43">
        <f t="shared" si="88"/>
        <v>0</v>
      </c>
      <c r="R1105" s="43">
        <f t="shared" ca="1" si="89"/>
        <v>0</v>
      </c>
      <c r="S1105" s="22"/>
      <c r="T1105" s="25">
        <v>46105</v>
      </c>
    </row>
    <row r="1106" spans="1:20" x14ac:dyDescent="0.3">
      <c r="A1106" s="13">
        <v>1103</v>
      </c>
      <c r="B1106" s="1" t="s">
        <v>710</v>
      </c>
      <c r="C1106" s="39">
        <f t="shared" ca="1" si="90"/>
        <v>0</v>
      </c>
      <c r="D1106" t="s">
        <v>92</v>
      </c>
      <c r="E1106" t="s">
        <v>197</v>
      </c>
      <c r="F1106" s="7" t="s">
        <v>78</v>
      </c>
      <c r="G1106" s="6" t="s">
        <v>681</v>
      </c>
      <c r="H1106" s="2" t="s">
        <v>681</v>
      </c>
      <c r="I1106" s="1">
        <v>14</v>
      </c>
      <c r="J1106" s="1">
        <v>10</v>
      </c>
      <c r="L1106" s="45">
        <f t="shared" si="91"/>
        <v>46120</v>
      </c>
      <c r="M1106" s="46">
        <f t="shared" si="87"/>
        <v>46120</v>
      </c>
      <c r="Q1106" s="43">
        <f t="shared" si="88"/>
        <v>0</v>
      </c>
      <c r="R1106" s="43">
        <f t="shared" ca="1" si="89"/>
        <v>0</v>
      </c>
      <c r="S1106" s="22"/>
      <c r="T1106" s="25">
        <v>46106</v>
      </c>
    </row>
    <row r="1107" spans="1:20" x14ac:dyDescent="0.3">
      <c r="A1107" s="13">
        <v>1104</v>
      </c>
      <c r="B1107" s="1" t="s">
        <v>710</v>
      </c>
      <c r="C1107" s="39">
        <f t="shared" ca="1" si="90"/>
        <v>0</v>
      </c>
      <c r="D1107" t="s">
        <v>92</v>
      </c>
      <c r="E1107" t="s">
        <v>198</v>
      </c>
      <c r="F1107" s="7" t="s">
        <v>78</v>
      </c>
      <c r="G1107" s="6" t="s">
        <v>681</v>
      </c>
      <c r="H1107" s="2" t="s">
        <v>681</v>
      </c>
      <c r="I1107" s="1">
        <v>14</v>
      </c>
      <c r="J1107" s="1">
        <v>10</v>
      </c>
      <c r="L1107" s="45">
        <f t="shared" si="91"/>
        <v>46121</v>
      </c>
      <c r="M1107" s="46">
        <f t="shared" si="87"/>
        <v>46121</v>
      </c>
      <c r="Q1107" s="43">
        <f t="shared" si="88"/>
        <v>0</v>
      </c>
      <c r="R1107" s="43">
        <f t="shared" ca="1" si="89"/>
        <v>0</v>
      </c>
      <c r="S1107" s="22"/>
      <c r="T1107" s="25">
        <v>46107</v>
      </c>
    </row>
    <row r="1108" spans="1:20" x14ac:dyDescent="0.3">
      <c r="A1108" s="13">
        <v>1105</v>
      </c>
      <c r="B1108" s="1" t="s">
        <v>710</v>
      </c>
      <c r="C1108" s="39">
        <f t="shared" ca="1" si="90"/>
        <v>0</v>
      </c>
      <c r="D1108" t="s">
        <v>92</v>
      </c>
      <c r="E1108" t="s">
        <v>191</v>
      </c>
      <c r="F1108" s="7" t="s">
        <v>78</v>
      </c>
      <c r="G1108" s="6" t="s">
        <v>681</v>
      </c>
      <c r="H1108" s="2" t="s">
        <v>681</v>
      </c>
      <c r="I1108" s="1">
        <v>14</v>
      </c>
      <c r="J1108" s="1">
        <v>10</v>
      </c>
      <c r="L1108" s="45">
        <f t="shared" si="91"/>
        <v>46122</v>
      </c>
      <c r="M1108" s="46">
        <f t="shared" si="87"/>
        <v>46122</v>
      </c>
      <c r="Q1108" s="43">
        <f t="shared" si="88"/>
        <v>0</v>
      </c>
      <c r="R1108" s="43">
        <f t="shared" ca="1" si="89"/>
        <v>0</v>
      </c>
      <c r="S1108" s="22"/>
      <c r="T1108" s="25">
        <v>46108</v>
      </c>
    </row>
    <row r="1109" spans="1:20" x14ac:dyDescent="0.3">
      <c r="A1109" s="13">
        <v>1106</v>
      </c>
      <c r="B1109" s="1" t="s">
        <v>710</v>
      </c>
      <c r="C1109" s="39">
        <f t="shared" ca="1" si="90"/>
        <v>0</v>
      </c>
      <c r="D1109" t="s">
        <v>92</v>
      </c>
      <c r="E1109" t="s">
        <v>192</v>
      </c>
      <c r="F1109" s="7" t="s">
        <v>78</v>
      </c>
      <c r="G1109" s="6" t="s">
        <v>681</v>
      </c>
      <c r="H1109" s="2" t="s">
        <v>681</v>
      </c>
      <c r="I1109" s="1">
        <v>14</v>
      </c>
      <c r="J1109" s="1">
        <v>10</v>
      </c>
      <c r="L1109" s="45">
        <f t="shared" si="91"/>
        <v>46123</v>
      </c>
      <c r="M1109" s="46">
        <f t="shared" si="87"/>
        <v>46123</v>
      </c>
      <c r="Q1109" s="43">
        <f t="shared" si="88"/>
        <v>0</v>
      </c>
      <c r="R1109" s="43">
        <f t="shared" ca="1" si="89"/>
        <v>0</v>
      </c>
      <c r="S1109" s="22"/>
      <c r="T1109" s="25">
        <v>46109</v>
      </c>
    </row>
    <row r="1110" spans="1:20" x14ac:dyDescent="0.3">
      <c r="A1110" s="13">
        <v>1107</v>
      </c>
      <c r="B1110" s="1" t="s">
        <v>710</v>
      </c>
      <c r="C1110" s="39">
        <f t="shared" ca="1" si="90"/>
        <v>0</v>
      </c>
      <c r="D1110" t="s">
        <v>92</v>
      </c>
      <c r="E1110" t="s">
        <v>199</v>
      </c>
      <c r="F1110" s="7" t="s">
        <v>78</v>
      </c>
      <c r="G1110" s="6" t="s">
        <v>681</v>
      </c>
      <c r="H1110" s="2" t="s">
        <v>681</v>
      </c>
      <c r="I1110" s="1">
        <v>14</v>
      </c>
      <c r="J1110" s="1">
        <v>10</v>
      </c>
      <c r="L1110" s="45">
        <f t="shared" si="91"/>
        <v>46124</v>
      </c>
      <c r="M1110" s="46">
        <f t="shared" si="87"/>
        <v>46124</v>
      </c>
      <c r="Q1110" s="43">
        <f t="shared" si="88"/>
        <v>0</v>
      </c>
      <c r="R1110" s="43">
        <f t="shared" ca="1" si="89"/>
        <v>0</v>
      </c>
      <c r="S1110" s="22"/>
      <c r="T1110" s="25">
        <v>46110</v>
      </c>
    </row>
    <row r="1111" spans="1:20" x14ac:dyDescent="0.3">
      <c r="A1111" s="13">
        <v>1108</v>
      </c>
      <c r="B1111" s="1" t="s">
        <v>710</v>
      </c>
      <c r="C1111" s="39">
        <f t="shared" ca="1" si="90"/>
        <v>0</v>
      </c>
      <c r="D1111" t="s">
        <v>92</v>
      </c>
      <c r="E1111" t="s">
        <v>666</v>
      </c>
      <c r="F1111" s="7" t="s">
        <v>78</v>
      </c>
      <c r="G1111" s="6" t="s">
        <v>681</v>
      </c>
      <c r="H1111" s="2" t="s">
        <v>681</v>
      </c>
      <c r="I1111" s="1">
        <v>10</v>
      </c>
      <c r="J1111" s="1">
        <v>5</v>
      </c>
      <c r="L1111" s="45">
        <f t="shared" si="91"/>
        <v>46121</v>
      </c>
      <c r="M1111" s="46">
        <f t="shared" si="87"/>
        <v>46121</v>
      </c>
      <c r="Q1111" s="43">
        <f t="shared" si="88"/>
        <v>0</v>
      </c>
      <c r="R1111" s="43">
        <f t="shared" ca="1" si="89"/>
        <v>0</v>
      </c>
      <c r="S1111" s="22"/>
      <c r="T1111" s="25">
        <v>46111</v>
      </c>
    </row>
    <row r="1112" spans="1:20" x14ac:dyDescent="0.3">
      <c r="A1112" s="13">
        <v>1109</v>
      </c>
      <c r="B1112" s="1" t="s">
        <v>710</v>
      </c>
      <c r="C1112" s="39">
        <f t="shared" ca="1" si="90"/>
        <v>0</v>
      </c>
      <c r="D1112" t="s">
        <v>93</v>
      </c>
      <c r="E1112" t="s">
        <v>193</v>
      </c>
      <c r="F1112" s="7" t="s">
        <v>78</v>
      </c>
      <c r="G1112" s="6" t="s">
        <v>681</v>
      </c>
      <c r="H1112" s="2" t="s">
        <v>681</v>
      </c>
      <c r="I1112" s="1">
        <v>14</v>
      </c>
      <c r="J1112" s="1">
        <v>10</v>
      </c>
      <c r="L1112" s="45">
        <f t="shared" si="91"/>
        <v>46126</v>
      </c>
      <c r="M1112" s="46">
        <f t="shared" si="87"/>
        <v>46126</v>
      </c>
      <c r="Q1112" s="43">
        <f t="shared" si="88"/>
        <v>0</v>
      </c>
      <c r="R1112" s="43">
        <f t="shared" ca="1" si="89"/>
        <v>0</v>
      </c>
      <c r="S1112" s="22"/>
      <c r="T1112" s="25">
        <v>46112</v>
      </c>
    </row>
    <row r="1113" spans="1:20" x14ac:dyDescent="0.3">
      <c r="A1113" s="13">
        <v>1110</v>
      </c>
      <c r="B1113" s="1" t="s">
        <v>710</v>
      </c>
      <c r="C1113" s="39">
        <f t="shared" ca="1" si="90"/>
        <v>0</v>
      </c>
      <c r="D1113" t="s">
        <v>93</v>
      </c>
      <c r="E1113" t="s">
        <v>194</v>
      </c>
      <c r="F1113" s="7" t="s">
        <v>78</v>
      </c>
      <c r="G1113" s="6" t="s">
        <v>681</v>
      </c>
      <c r="H1113" s="2" t="s">
        <v>681</v>
      </c>
      <c r="I1113" s="1">
        <v>14</v>
      </c>
      <c r="J1113" s="1">
        <v>10</v>
      </c>
      <c r="L1113" s="45">
        <f t="shared" si="91"/>
        <v>46127</v>
      </c>
      <c r="M1113" s="46">
        <f t="shared" si="87"/>
        <v>46127</v>
      </c>
      <c r="Q1113" s="43">
        <f t="shared" si="88"/>
        <v>0</v>
      </c>
      <c r="R1113" s="43">
        <f t="shared" ca="1" si="89"/>
        <v>0</v>
      </c>
      <c r="S1113" s="22"/>
      <c r="T1113" s="25">
        <v>46113</v>
      </c>
    </row>
    <row r="1114" spans="1:20" x14ac:dyDescent="0.3">
      <c r="A1114" s="13">
        <v>1111</v>
      </c>
      <c r="B1114" s="1" t="s">
        <v>710</v>
      </c>
      <c r="C1114" s="39">
        <f t="shared" ca="1" si="90"/>
        <v>0</v>
      </c>
      <c r="D1114" t="s">
        <v>93</v>
      </c>
      <c r="E1114" t="s">
        <v>195</v>
      </c>
      <c r="F1114" s="7" t="s">
        <v>78</v>
      </c>
      <c r="G1114" s="6" t="s">
        <v>681</v>
      </c>
      <c r="H1114" s="2" t="s">
        <v>681</v>
      </c>
      <c r="I1114" s="1">
        <v>14</v>
      </c>
      <c r="J1114" s="1">
        <v>10</v>
      </c>
      <c r="L1114" s="45">
        <f t="shared" si="91"/>
        <v>46128</v>
      </c>
      <c r="M1114" s="46">
        <f t="shared" si="87"/>
        <v>46128</v>
      </c>
      <c r="Q1114" s="43">
        <f t="shared" si="88"/>
        <v>0</v>
      </c>
      <c r="R1114" s="43">
        <f t="shared" ca="1" si="89"/>
        <v>0</v>
      </c>
      <c r="S1114" s="22"/>
      <c r="T1114" s="25">
        <v>46114</v>
      </c>
    </row>
    <row r="1115" spans="1:20" x14ac:dyDescent="0.3">
      <c r="A1115" s="13">
        <v>1112</v>
      </c>
      <c r="B1115" s="1" t="s">
        <v>710</v>
      </c>
      <c r="C1115" s="39">
        <f t="shared" ca="1" si="90"/>
        <v>0</v>
      </c>
      <c r="D1115" t="s">
        <v>93</v>
      </c>
      <c r="E1115" t="s">
        <v>191</v>
      </c>
      <c r="F1115" s="7" t="s">
        <v>78</v>
      </c>
      <c r="G1115" s="6" t="s">
        <v>681</v>
      </c>
      <c r="H1115" s="2" t="s">
        <v>681</v>
      </c>
      <c r="I1115" s="1">
        <v>14</v>
      </c>
      <c r="J1115" s="1">
        <v>10</v>
      </c>
      <c r="L1115" s="45">
        <f t="shared" si="91"/>
        <v>46129</v>
      </c>
      <c r="M1115" s="46">
        <f t="shared" si="87"/>
        <v>46129</v>
      </c>
      <c r="Q1115" s="43">
        <f t="shared" si="88"/>
        <v>0</v>
      </c>
      <c r="R1115" s="43">
        <f t="shared" ca="1" si="89"/>
        <v>0</v>
      </c>
      <c r="S1115" s="22"/>
      <c r="T1115" s="25">
        <v>46115</v>
      </c>
    </row>
    <row r="1116" spans="1:20" x14ac:dyDescent="0.3">
      <c r="A1116" s="13">
        <v>1113</v>
      </c>
      <c r="B1116" s="1" t="s">
        <v>710</v>
      </c>
      <c r="C1116" s="39">
        <f t="shared" ca="1" si="90"/>
        <v>0</v>
      </c>
      <c r="D1116" t="s">
        <v>93</v>
      </c>
      <c r="E1116" t="s">
        <v>196</v>
      </c>
      <c r="F1116" s="7" t="s">
        <v>78</v>
      </c>
      <c r="G1116" s="6" t="s">
        <v>681</v>
      </c>
      <c r="H1116" s="2" t="s">
        <v>681</v>
      </c>
      <c r="I1116" s="1">
        <v>14</v>
      </c>
      <c r="J1116" s="1">
        <v>10</v>
      </c>
      <c r="L1116" s="45">
        <f t="shared" si="91"/>
        <v>46130</v>
      </c>
      <c r="M1116" s="46">
        <f t="shared" si="87"/>
        <v>46130</v>
      </c>
      <c r="Q1116" s="43">
        <f t="shared" si="88"/>
        <v>0</v>
      </c>
      <c r="R1116" s="43">
        <f t="shared" ca="1" si="89"/>
        <v>0</v>
      </c>
      <c r="S1116" s="22"/>
      <c r="T1116" s="25">
        <v>46116</v>
      </c>
    </row>
    <row r="1117" spans="1:20" x14ac:dyDescent="0.3">
      <c r="A1117" s="13">
        <v>1114</v>
      </c>
      <c r="B1117" s="1" t="s">
        <v>710</v>
      </c>
      <c r="C1117" s="39">
        <f t="shared" ca="1" si="90"/>
        <v>0</v>
      </c>
      <c r="D1117" t="s">
        <v>93</v>
      </c>
      <c r="E1117" t="s">
        <v>666</v>
      </c>
      <c r="F1117" s="7" t="s">
        <v>78</v>
      </c>
      <c r="G1117" s="6" t="s">
        <v>681</v>
      </c>
      <c r="H1117" s="2" t="s">
        <v>681</v>
      </c>
      <c r="I1117" s="1">
        <v>10</v>
      </c>
      <c r="J1117" s="1">
        <v>5</v>
      </c>
      <c r="L1117" s="45">
        <f t="shared" si="91"/>
        <v>46127</v>
      </c>
      <c r="M1117" s="46">
        <f t="shared" si="87"/>
        <v>46127</v>
      </c>
      <c r="Q1117" s="43">
        <f t="shared" si="88"/>
        <v>0</v>
      </c>
      <c r="R1117" s="43">
        <f t="shared" ca="1" si="89"/>
        <v>0</v>
      </c>
      <c r="S1117" s="22"/>
      <c r="T1117" s="25">
        <v>46117</v>
      </c>
    </row>
    <row r="1118" spans="1:20" x14ac:dyDescent="0.3">
      <c r="A1118" s="13">
        <v>1115</v>
      </c>
      <c r="B1118" s="1" t="s">
        <v>710</v>
      </c>
      <c r="C1118" s="39">
        <f t="shared" ca="1" si="90"/>
        <v>0</v>
      </c>
      <c r="D1118" t="s">
        <v>94</v>
      </c>
      <c r="E1118" t="s">
        <v>193</v>
      </c>
      <c r="F1118" s="7" t="s">
        <v>78</v>
      </c>
      <c r="G1118" s="6" t="s">
        <v>681</v>
      </c>
      <c r="H1118" s="2" t="s">
        <v>681</v>
      </c>
      <c r="I1118" s="1">
        <v>14</v>
      </c>
      <c r="J1118" s="1">
        <v>10</v>
      </c>
      <c r="L1118" s="45">
        <f t="shared" si="91"/>
        <v>46132</v>
      </c>
      <c r="M1118" s="46">
        <f t="shared" si="87"/>
        <v>46132</v>
      </c>
      <c r="Q1118" s="43">
        <f t="shared" si="88"/>
        <v>0</v>
      </c>
      <c r="R1118" s="43">
        <f t="shared" ca="1" si="89"/>
        <v>0</v>
      </c>
      <c r="S1118" s="22"/>
      <c r="T1118" s="25">
        <v>46118</v>
      </c>
    </row>
    <row r="1119" spans="1:20" x14ac:dyDescent="0.3">
      <c r="A1119" s="13">
        <v>1116</v>
      </c>
      <c r="B1119" s="1" t="s">
        <v>710</v>
      </c>
      <c r="C1119" s="39">
        <f t="shared" ca="1" si="90"/>
        <v>0</v>
      </c>
      <c r="D1119" t="s">
        <v>94</v>
      </c>
      <c r="E1119" t="s">
        <v>194</v>
      </c>
      <c r="F1119" s="7" t="s">
        <v>78</v>
      </c>
      <c r="G1119" s="6" t="s">
        <v>681</v>
      </c>
      <c r="H1119" s="2" t="s">
        <v>681</v>
      </c>
      <c r="I1119" s="1">
        <v>14</v>
      </c>
      <c r="J1119" s="1">
        <v>10</v>
      </c>
      <c r="L1119" s="45">
        <f t="shared" si="91"/>
        <v>46133</v>
      </c>
      <c r="M1119" s="46">
        <f t="shared" si="87"/>
        <v>46133</v>
      </c>
      <c r="Q1119" s="43">
        <f t="shared" si="88"/>
        <v>0</v>
      </c>
      <c r="R1119" s="43">
        <f t="shared" ca="1" si="89"/>
        <v>0</v>
      </c>
      <c r="S1119" s="22"/>
      <c r="T1119" s="25">
        <v>46119</v>
      </c>
    </row>
    <row r="1120" spans="1:20" x14ac:dyDescent="0.3">
      <c r="A1120" s="13">
        <v>1117</v>
      </c>
      <c r="B1120" s="1" t="s">
        <v>710</v>
      </c>
      <c r="C1120" s="39">
        <f t="shared" ca="1" si="90"/>
        <v>0</v>
      </c>
      <c r="D1120" t="s">
        <v>94</v>
      </c>
      <c r="E1120" t="s">
        <v>195</v>
      </c>
      <c r="F1120" s="7" t="s">
        <v>78</v>
      </c>
      <c r="G1120" s="6" t="s">
        <v>681</v>
      </c>
      <c r="H1120" s="2" t="s">
        <v>681</v>
      </c>
      <c r="I1120" s="1">
        <v>14</v>
      </c>
      <c r="J1120" s="1">
        <v>10</v>
      </c>
      <c r="L1120" s="45">
        <f t="shared" si="91"/>
        <v>46134</v>
      </c>
      <c r="M1120" s="46">
        <f t="shared" si="87"/>
        <v>46134</v>
      </c>
      <c r="Q1120" s="43">
        <f t="shared" si="88"/>
        <v>0</v>
      </c>
      <c r="R1120" s="43">
        <f t="shared" ca="1" si="89"/>
        <v>0</v>
      </c>
      <c r="S1120" s="22"/>
      <c r="T1120" s="25">
        <v>46120</v>
      </c>
    </row>
    <row r="1121" spans="1:20" x14ac:dyDescent="0.3">
      <c r="A1121" s="13">
        <v>1118</v>
      </c>
      <c r="B1121" s="1" t="s">
        <v>710</v>
      </c>
      <c r="C1121" s="39">
        <f t="shared" ca="1" si="90"/>
        <v>0</v>
      </c>
      <c r="D1121" t="s">
        <v>94</v>
      </c>
      <c r="E1121" t="s">
        <v>191</v>
      </c>
      <c r="F1121" s="7" t="s">
        <v>78</v>
      </c>
      <c r="G1121" s="6" t="s">
        <v>681</v>
      </c>
      <c r="H1121" s="2" t="s">
        <v>681</v>
      </c>
      <c r="I1121" s="1">
        <v>14</v>
      </c>
      <c r="J1121" s="1">
        <v>10</v>
      </c>
      <c r="L1121" s="45">
        <f t="shared" si="91"/>
        <v>46135</v>
      </c>
      <c r="M1121" s="46">
        <f t="shared" ref="M1121:M1184" si="92">T1121+I1121</f>
        <v>46135</v>
      </c>
      <c r="Q1121" s="43">
        <f t="shared" ref="Q1121:Q1184" si="93">IF(O1121&lt;&gt;0,1,0)</f>
        <v>0</v>
      </c>
      <c r="R1121" s="43">
        <f t="shared" ref="R1121:R1184" ca="1" si="94">IF(AND(L1121&lt;($A$2+7), L1121&gt;($A$2+6)),1,0)</f>
        <v>0</v>
      </c>
      <c r="S1121" s="22"/>
      <c r="T1121" s="25">
        <v>46121</v>
      </c>
    </row>
    <row r="1122" spans="1:20" x14ac:dyDescent="0.3">
      <c r="A1122" s="13">
        <v>1119</v>
      </c>
      <c r="B1122" s="1" t="s">
        <v>710</v>
      </c>
      <c r="C1122" s="39">
        <f t="shared" ca="1" si="90"/>
        <v>0</v>
      </c>
      <c r="D1122" t="s">
        <v>94</v>
      </c>
      <c r="E1122" t="s">
        <v>196</v>
      </c>
      <c r="F1122" s="7" t="s">
        <v>78</v>
      </c>
      <c r="G1122" s="6" t="s">
        <v>681</v>
      </c>
      <c r="H1122" s="2" t="s">
        <v>681</v>
      </c>
      <c r="I1122" s="1">
        <v>14</v>
      </c>
      <c r="J1122" s="1">
        <v>10</v>
      </c>
      <c r="L1122" s="45">
        <f t="shared" si="91"/>
        <v>46136</v>
      </c>
      <c r="M1122" s="46">
        <f t="shared" si="92"/>
        <v>46136</v>
      </c>
      <c r="Q1122" s="43">
        <f t="shared" si="93"/>
        <v>0</v>
      </c>
      <c r="R1122" s="43">
        <f t="shared" ca="1" si="94"/>
        <v>0</v>
      </c>
      <c r="S1122" s="22"/>
      <c r="T1122" s="25">
        <v>46122</v>
      </c>
    </row>
    <row r="1123" spans="1:20" x14ac:dyDescent="0.3">
      <c r="A1123" s="13">
        <v>1120</v>
      </c>
      <c r="B1123" s="1" t="s">
        <v>710</v>
      </c>
      <c r="C1123" s="39">
        <f t="shared" ca="1" si="90"/>
        <v>0</v>
      </c>
      <c r="D1123" t="s">
        <v>94</v>
      </c>
      <c r="E1123" t="s">
        <v>666</v>
      </c>
      <c r="F1123" s="7" t="s">
        <v>78</v>
      </c>
      <c r="G1123" s="6" t="s">
        <v>681</v>
      </c>
      <c r="H1123" s="2" t="s">
        <v>681</v>
      </c>
      <c r="I1123" s="1">
        <v>10</v>
      </c>
      <c r="J1123" s="1">
        <v>5</v>
      </c>
      <c r="L1123" s="45">
        <f t="shared" si="91"/>
        <v>46133</v>
      </c>
      <c r="M1123" s="46">
        <f t="shared" si="92"/>
        <v>46133</v>
      </c>
      <c r="Q1123" s="43">
        <f t="shared" si="93"/>
        <v>0</v>
      </c>
      <c r="R1123" s="43">
        <f t="shared" ca="1" si="94"/>
        <v>0</v>
      </c>
      <c r="S1123" s="22"/>
      <c r="T1123" s="25">
        <v>46123</v>
      </c>
    </row>
    <row r="1124" spans="1:20" x14ac:dyDescent="0.3">
      <c r="A1124" s="13">
        <v>1121</v>
      </c>
      <c r="B1124" s="1" t="s">
        <v>710</v>
      </c>
      <c r="C1124" s="39">
        <f t="shared" ca="1" si="90"/>
        <v>0</v>
      </c>
      <c r="D1124" t="s">
        <v>95</v>
      </c>
      <c r="E1124" t="s">
        <v>193</v>
      </c>
      <c r="F1124" s="7" t="s">
        <v>78</v>
      </c>
      <c r="G1124" s="6" t="s">
        <v>681</v>
      </c>
      <c r="H1124" s="2" t="s">
        <v>681</v>
      </c>
      <c r="I1124" s="1">
        <v>14</v>
      </c>
      <c r="J1124" s="1">
        <v>10</v>
      </c>
      <c r="L1124" s="45">
        <f t="shared" si="91"/>
        <v>46138</v>
      </c>
      <c r="M1124" s="46">
        <f t="shared" si="92"/>
        <v>46138</v>
      </c>
      <c r="Q1124" s="43">
        <f t="shared" si="93"/>
        <v>0</v>
      </c>
      <c r="R1124" s="43">
        <f t="shared" ca="1" si="94"/>
        <v>0</v>
      </c>
      <c r="S1124" s="22"/>
      <c r="T1124" s="25">
        <v>46124</v>
      </c>
    </row>
    <row r="1125" spans="1:20" x14ac:dyDescent="0.3">
      <c r="A1125" s="13">
        <v>1122</v>
      </c>
      <c r="B1125" s="1" t="s">
        <v>710</v>
      </c>
      <c r="C1125" s="39">
        <f t="shared" ca="1" si="90"/>
        <v>0</v>
      </c>
      <c r="D1125" t="s">
        <v>95</v>
      </c>
      <c r="E1125" t="s">
        <v>194</v>
      </c>
      <c r="F1125" s="7" t="s">
        <v>78</v>
      </c>
      <c r="G1125" s="6" t="s">
        <v>681</v>
      </c>
      <c r="H1125" s="2" t="s">
        <v>681</v>
      </c>
      <c r="I1125" s="1">
        <v>14</v>
      </c>
      <c r="J1125" s="1">
        <v>10</v>
      </c>
      <c r="L1125" s="45">
        <f t="shared" si="91"/>
        <v>46139</v>
      </c>
      <c r="M1125" s="46">
        <f t="shared" si="92"/>
        <v>46139</v>
      </c>
      <c r="Q1125" s="43">
        <f t="shared" si="93"/>
        <v>0</v>
      </c>
      <c r="R1125" s="43">
        <f t="shared" ca="1" si="94"/>
        <v>0</v>
      </c>
      <c r="S1125" s="22"/>
      <c r="T1125" s="25">
        <v>46125</v>
      </c>
    </row>
    <row r="1126" spans="1:20" x14ac:dyDescent="0.3">
      <c r="A1126" s="13">
        <v>1123</v>
      </c>
      <c r="B1126" s="1" t="s">
        <v>710</v>
      </c>
      <c r="C1126" s="39">
        <f t="shared" ca="1" si="90"/>
        <v>0</v>
      </c>
      <c r="D1126" t="s">
        <v>95</v>
      </c>
      <c r="E1126" t="s">
        <v>191</v>
      </c>
      <c r="F1126" s="7" t="s">
        <v>78</v>
      </c>
      <c r="G1126" s="6" t="s">
        <v>681</v>
      </c>
      <c r="H1126" s="2" t="s">
        <v>681</v>
      </c>
      <c r="I1126" s="1">
        <v>14</v>
      </c>
      <c r="J1126" s="1">
        <v>10</v>
      </c>
      <c r="L1126" s="45">
        <f t="shared" si="91"/>
        <v>46140</v>
      </c>
      <c r="M1126" s="46">
        <f t="shared" si="92"/>
        <v>46140</v>
      </c>
      <c r="Q1126" s="43">
        <f t="shared" si="93"/>
        <v>0</v>
      </c>
      <c r="R1126" s="43">
        <f t="shared" ca="1" si="94"/>
        <v>0</v>
      </c>
      <c r="S1126" s="22"/>
      <c r="T1126" s="25">
        <v>46126</v>
      </c>
    </row>
    <row r="1127" spans="1:20" x14ac:dyDescent="0.3">
      <c r="A1127" s="13">
        <v>1124</v>
      </c>
      <c r="B1127" s="1" t="s">
        <v>710</v>
      </c>
      <c r="C1127" s="39">
        <f t="shared" ca="1" si="90"/>
        <v>0</v>
      </c>
      <c r="D1127" t="s">
        <v>95</v>
      </c>
      <c r="E1127" t="s">
        <v>192</v>
      </c>
      <c r="F1127" s="7" t="s">
        <v>78</v>
      </c>
      <c r="G1127" s="6" t="s">
        <v>681</v>
      </c>
      <c r="H1127" s="2" t="s">
        <v>681</v>
      </c>
      <c r="I1127" s="1">
        <v>14</v>
      </c>
      <c r="J1127" s="1">
        <v>10</v>
      </c>
      <c r="L1127" s="45">
        <f t="shared" si="91"/>
        <v>46141</v>
      </c>
      <c r="M1127" s="46">
        <f t="shared" si="92"/>
        <v>46141</v>
      </c>
      <c r="Q1127" s="43">
        <f t="shared" si="93"/>
        <v>0</v>
      </c>
      <c r="R1127" s="43">
        <f t="shared" ca="1" si="94"/>
        <v>0</v>
      </c>
      <c r="S1127" s="22"/>
      <c r="T1127" s="25">
        <v>46127</v>
      </c>
    </row>
    <row r="1128" spans="1:20" x14ac:dyDescent="0.3">
      <c r="A1128" s="13">
        <v>1125</v>
      </c>
      <c r="B1128" s="1" t="s">
        <v>710</v>
      </c>
      <c r="C1128" s="39">
        <f t="shared" ca="1" si="90"/>
        <v>0</v>
      </c>
      <c r="D1128" t="s">
        <v>95</v>
      </c>
      <c r="E1128" t="s">
        <v>199</v>
      </c>
      <c r="F1128" s="7" t="s">
        <v>78</v>
      </c>
      <c r="G1128" s="6" t="s">
        <v>681</v>
      </c>
      <c r="H1128" s="2" t="s">
        <v>681</v>
      </c>
      <c r="I1128" s="1">
        <v>14</v>
      </c>
      <c r="J1128" s="1">
        <v>10</v>
      </c>
      <c r="L1128" s="45">
        <f t="shared" si="91"/>
        <v>46142</v>
      </c>
      <c r="M1128" s="46">
        <f t="shared" si="92"/>
        <v>46142</v>
      </c>
      <c r="Q1128" s="43">
        <f t="shared" si="93"/>
        <v>0</v>
      </c>
      <c r="R1128" s="43">
        <f t="shared" ca="1" si="94"/>
        <v>0</v>
      </c>
      <c r="S1128" s="22"/>
      <c r="T1128" s="25">
        <v>46128</v>
      </c>
    </row>
    <row r="1129" spans="1:20" x14ac:dyDescent="0.3">
      <c r="A1129" s="13">
        <v>1126</v>
      </c>
      <c r="B1129" s="1" t="s">
        <v>710</v>
      </c>
      <c r="C1129" s="39">
        <f t="shared" ca="1" si="90"/>
        <v>0</v>
      </c>
      <c r="D1129" t="s">
        <v>95</v>
      </c>
      <c r="E1129" t="s">
        <v>666</v>
      </c>
      <c r="F1129" s="7" t="s">
        <v>78</v>
      </c>
      <c r="G1129" s="6" t="s">
        <v>681</v>
      </c>
      <c r="H1129" s="2" t="s">
        <v>681</v>
      </c>
      <c r="I1129" s="1">
        <v>10</v>
      </c>
      <c r="J1129" s="1">
        <v>5</v>
      </c>
      <c r="L1129" s="45">
        <f t="shared" si="91"/>
        <v>46139</v>
      </c>
      <c r="M1129" s="46">
        <f t="shared" si="92"/>
        <v>46139</v>
      </c>
      <c r="Q1129" s="43">
        <f t="shared" si="93"/>
        <v>0</v>
      </c>
      <c r="R1129" s="43">
        <f t="shared" ca="1" si="94"/>
        <v>0</v>
      </c>
      <c r="S1129" s="22"/>
      <c r="T1129" s="25">
        <v>46129</v>
      </c>
    </row>
    <row r="1130" spans="1:20" x14ac:dyDescent="0.3">
      <c r="A1130" s="13">
        <v>1127</v>
      </c>
      <c r="B1130" s="1" t="s">
        <v>709</v>
      </c>
      <c r="C1130" s="39">
        <f t="shared" ca="1" si="90"/>
        <v>0</v>
      </c>
      <c r="D1130" t="s">
        <v>96</v>
      </c>
      <c r="E1130" t="s">
        <v>200</v>
      </c>
      <c r="F1130" s="7" t="s">
        <v>78</v>
      </c>
      <c r="G1130" s="6" t="s">
        <v>681</v>
      </c>
      <c r="H1130" s="2" t="s">
        <v>681</v>
      </c>
      <c r="I1130" s="1">
        <v>90</v>
      </c>
      <c r="J1130" s="1">
        <v>15</v>
      </c>
      <c r="L1130" s="45">
        <f t="shared" si="91"/>
        <v>46220</v>
      </c>
      <c r="M1130" s="46">
        <f t="shared" si="92"/>
        <v>46220</v>
      </c>
      <c r="Q1130" s="43">
        <f t="shared" si="93"/>
        <v>0</v>
      </c>
      <c r="R1130" s="43">
        <f t="shared" ca="1" si="94"/>
        <v>0</v>
      </c>
      <c r="S1130" s="22"/>
      <c r="T1130" s="25">
        <v>46130</v>
      </c>
    </row>
    <row r="1131" spans="1:20" x14ac:dyDescent="0.3">
      <c r="A1131" s="13">
        <v>1128</v>
      </c>
      <c r="B1131" s="1" t="s">
        <v>709</v>
      </c>
      <c r="C1131" s="39">
        <f t="shared" ca="1" si="90"/>
        <v>0</v>
      </c>
      <c r="D1131" t="s">
        <v>96</v>
      </c>
      <c r="E1131" t="s">
        <v>190</v>
      </c>
      <c r="F1131" s="7" t="s">
        <v>78</v>
      </c>
      <c r="G1131" s="6" t="s">
        <v>681</v>
      </c>
      <c r="H1131" s="2" t="s">
        <v>681</v>
      </c>
      <c r="I1131" s="1">
        <v>90</v>
      </c>
      <c r="J1131" s="1">
        <v>15</v>
      </c>
      <c r="L1131" s="45">
        <f t="shared" si="91"/>
        <v>46221</v>
      </c>
      <c r="M1131" s="46">
        <f t="shared" si="92"/>
        <v>46221</v>
      </c>
      <c r="Q1131" s="43">
        <f t="shared" si="93"/>
        <v>0</v>
      </c>
      <c r="R1131" s="43">
        <f t="shared" ca="1" si="94"/>
        <v>0</v>
      </c>
      <c r="S1131" s="22"/>
      <c r="T1131" s="25">
        <v>46131</v>
      </c>
    </row>
    <row r="1132" spans="1:20" x14ac:dyDescent="0.3">
      <c r="A1132" s="13">
        <v>1129</v>
      </c>
      <c r="B1132" s="1" t="s">
        <v>709</v>
      </c>
      <c r="C1132" s="39">
        <f t="shared" ca="1" si="90"/>
        <v>0</v>
      </c>
      <c r="D1132" t="s">
        <v>96</v>
      </c>
      <c r="E1132" t="s">
        <v>201</v>
      </c>
      <c r="F1132" s="7" t="s">
        <v>78</v>
      </c>
      <c r="G1132" s="6" t="s">
        <v>681</v>
      </c>
      <c r="H1132" s="2" t="s">
        <v>681</v>
      </c>
      <c r="I1132" s="1">
        <v>90</v>
      </c>
      <c r="J1132" s="1">
        <v>15</v>
      </c>
      <c r="L1132" s="45">
        <f t="shared" si="91"/>
        <v>46222</v>
      </c>
      <c r="M1132" s="46">
        <f t="shared" si="92"/>
        <v>46222</v>
      </c>
      <c r="Q1132" s="43">
        <f t="shared" si="93"/>
        <v>0</v>
      </c>
      <c r="R1132" s="43">
        <f t="shared" ca="1" si="94"/>
        <v>0</v>
      </c>
      <c r="S1132" s="22"/>
      <c r="T1132" s="25">
        <v>46132</v>
      </c>
    </row>
    <row r="1133" spans="1:20" x14ac:dyDescent="0.3">
      <c r="A1133" s="13">
        <v>1130</v>
      </c>
      <c r="B1133" s="1" t="s">
        <v>709</v>
      </c>
      <c r="C1133" s="39">
        <f t="shared" ca="1" si="90"/>
        <v>0</v>
      </c>
      <c r="D1133" t="s">
        <v>96</v>
      </c>
      <c r="E1133" t="s">
        <v>202</v>
      </c>
      <c r="F1133" s="7" t="s">
        <v>78</v>
      </c>
      <c r="G1133" s="6" t="s">
        <v>681</v>
      </c>
      <c r="H1133" s="2" t="s">
        <v>681</v>
      </c>
      <c r="I1133" s="1">
        <v>90</v>
      </c>
      <c r="J1133" s="1">
        <v>15</v>
      </c>
      <c r="L1133" s="45">
        <f t="shared" si="91"/>
        <v>46223</v>
      </c>
      <c r="M1133" s="46">
        <f t="shared" si="92"/>
        <v>46223</v>
      </c>
      <c r="Q1133" s="43">
        <f t="shared" si="93"/>
        <v>0</v>
      </c>
      <c r="R1133" s="43">
        <f t="shared" ca="1" si="94"/>
        <v>0</v>
      </c>
      <c r="S1133" s="22"/>
      <c r="T1133" s="25">
        <v>46133</v>
      </c>
    </row>
    <row r="1134" spans="1:20" x14ac:dyDescent="0.3">
      <c r="A1134" s="13">
        <v>1131</v>
      </c>
      <c r="B1134" s="1" t="s">
        <v>709</v>
      </c>
      <c r="C1134" s="39">
        <f t="shared" ca="1" si="90"/>
        <v>0</v>
      </c>
      <c r="D1134" t="s">
        <v>96</v>
      </c>
      <c r="E1134" t="s">
        <v>203</v>
      </c>
      <c r="F1134" s="7" t="s">
        <v>78</v>
      </c>
      <c r="G1134" s="6" t="s">
        <v>681</v>
      </c>
      <c r="H1134" s="2" t="s">
        <v>681</v>
      </c>
      <c r="I1134" s="1">
        <v>90</v>
      </c>
      <c r="J1134" s="1">
        <v>15</v>
      </c>
      <c r="L1134" s="45">
        <f t="shared" si="91"/>
        <v>46224</v>
      </c>
      <c r="M1134" s="46">
        <f t="shared" si="92"/>
        <v>46224</v>
      </c>
      <c r="Q1134" s="43">
        <f t="shared" si="93"/>
        <v>0</v>
      </c>
      <c r="R1134" s="43">
        <f t="shared" ca="1" si="94"/>
        <v>0</v>
      </c>
      <c r="S1134" s="22"/>
      <c r="T1134" s="25">
        <v>46134</v>
      </c>
    </row>
    <row r="1135" spans="1:20" x14ac:dyDescent="0.3">
      <c r="A1135" s="13">
        <v>1132</v>
      </c>
      <c r="B1135" s="1" t="s">
        <v>709</v>
      </c>
      <c r="C1135" s="39">
        <f t="shared" ca="1" si="90"/>
        <v>0</v>
      </c>
      <c r="D1135" t="s">
        <v>96</v>
      </c>
      <c r="E1135" t="s">
        <v>204</v>
      </c>
      <c r="F1135" s="7" t="s">
        <v>78</v>
      </c>
      <c r="G1135" s="6" t="s">
        <v>681</v>
      </c>
      <c r="H1135" s="2" t="s">
        <v>681</v>
      </c>
      <c r="I1135" s="1">
        <v>90</v>
      </c>
      <c r="J1135" s="1">
        <v>15</v>
      </c>
      <c r="L1135" s="45">
        <f t="shared" si="91"/>
        <v>46225</v>
      </c>
      <c r="M1135" s="46">
        <f t="shared" si="92"/>
        <v>46225</v>
      </c>
      <c r="Q1135" s="43">
        <f t="shared" si="93"/>
        <v>0</v>
      </c>
      <c r="R1135" s="43">
        <f t="shared" ca="1" si="94"/>
        <v>0</v>
      </c>
      <c r="S1135" s="22"/>
      <c r="T1135" s="25">
        <v>46135</v>
      </c>
    </row>
    <row r="1136" spans="1:20" x14ac:dyDescent="0.3">
      <c r="A1136" s="13">
        <v>1133</v>
      </c>
      <c r="B1136" s="1" t="s">
        <v>709</v>
      </c>
      <c r="C1136" s="39">
        <f t="shared" ca="1" si="90"/>
        <v>0</v>
      </c>
      <c r="D1136" t="s">
        <v>96</v>
      </c>
      <c r="E1136" t="s">
        <v>188</v>
      </c>
      <c r="F1136" s="7" t="s">
        <v>78</v>
      </c>
      <c r="G1136" s="6" t="s">
        <v>681</v>
      </c>
      <c r="H1136" s="2" t="s">
        <v>681</v>
      </c>
      <c r="I1136" s="1">
        <v>90</v>
      </c>
      <c r="J1136" s="1">
        <v>15</v>
      </c>
      <c r="L1136" s="45">
        <f t="shared" si="91"/>
        <v>46226</v>
      </c>
      <c r="M1136" s="46">
        <f t="shared" si="92"/>
        <v>46226</v>
      </c>
      <c r="Q1136" s="43">
        <f t="shared" si="93"/>
        <v>0</v>
      </c>
      <c r="R1136" s="43">
        <f t="shared" ca="1" si="94"/>
        <v>0</v>
      </c>
      <c r="S1136" s="22"/>
      <c r="T1136" s="25">
        <v>46136</v>
      </c>
    </row>
    <row r="1137" spans="1:20" x14ac:dyDescent="0.3">
      <c r="A1137" s="13">
        <v>1134</v>
      </c>
      <c r="B1137" s="4" t="s">
        <v>699</v>
      </c>
      <c r="C1137" s="39">
        <f t="shared" ca="1" si="90"/>
        <v>0</v>
      </c>
      <c r="D1137" t="s">
        <v>34</v>
      </c>
      <c r="E1137" t="s">
        <v>205</v>
      </c>
      <c r="F1137" s="7" t="s">
        <v>78</v>
      </c>
      <c r="G1137" s="6" t="s">
        <v>681</v>
      </c>
      <c r="H1137" s="2" t="s">
        <v>681</v>
      </c>
      <c r="I1137" s="1">
        <v>180</v>
      </c>
      <c r="J1137" s="1">
        <v>20</v>
      </c>
      <c r="L1137" s="45">
        <f t="shared" si="91"/>
        <v>46317</v>
      </c>
      <c r="M1137" s="46">
        <f t="shared" si="92"/>
        <v>46317</v>
      </c>
      <c r="Q1137" s="43">
        <f t="shared" si="93"/>
        <v>0</v>
      </c>
      <c r="R1137" s="43">
        <f t="shared" ca="1" si="94"/>
        <v>0</v>
      </c>
      <c r="S1137" s="22"/>
      <c r="T1137" s="25">
        <v>46137</v>
      </c>
    </row>
    <row r="1138" spans="1:20" x14ac:dyDescent="0.3">
      <c r="A1138" s="13">
        <v>1135</v>
      </c>
      <c r="B1138" s="4" t="s">
        <v>699</v>
      </c>
      <c r="C1138" s="39">
        <f t="shared" ca="1" si="90"/>
        <v>0</v>
      </c>
      <c r="D1138" t="s">
        <v>34</v>
      </c>
      <c r="E1138" t="s">
        <v>190</v>
      </c>
      <c r="F1138" s="7" t="s">
        <v>78</v>
      </c>
      <c r="G1138" s="6" t="s">
        <v>681</v>
      </c>
      <c r="H1138" s="2" t="s">
        <v>681</v>
      </c>
      <c r="I1138" s="1">
        <v>180</v>
      </c>
      <c r="J1138" s="1">
        <v>20</v>
      </c>
      <c r="L1138" s="45">
        <f t="shared" si="91"/>
        <v>46318</v>
      </c>
      <c r="M1138" s="46">
        <f t="shared" si="92"/>
        <v>46318</v>
      </c>
      <c r="Q1138" s="43">
        <f t="shared" si="93"/>
        <v>0</v>
      </c>
      <c r="R1138" s="43">
        <f t="shared" ca="1" si="94"/>
        <v>0</v>
      </c>
      <c r="S1138" s="22"/>
      <c r="T1138" s="25">
        <v>46138</v>
      </c>
    </row>
    <row r="1139" spans="1:20" x14ac:dyDescent="0.3">
      <c r="A1139" s="13">
        <v>1136</v>
      </c>
      <c r="B1139" s="4" t="s">
        <v>699</v>
      </c>
      <c r="C1139" s="39">
        <f t="shared" ca="1" si="90"/>
        <v>0</v>
      </c>
      <c r="D1139" t="s">
        <v>34</v>
      </c>
      <c r="E1139" t="s">
        <v>188</v>
      </c>
      <c r="F1139" s="7" t="s">
        <v>78</v>
      </c>
      <c r="G1139" s="6" t="s">
        <v>681</v>
      </c>
      <c r="H1139" s="2" t="s">
        <v>681</v>
      </c>
      <c r="I1139" s="1">
        <v>180</v>
      </c>
      <c r="J1139" s="1">
        <v>10</v>
      </c>
      <c r="L1139" s="45">
        <f t="shared" si="91"/>
        <v>46319</v>
      </c>
      <c r="M1139" s="46">
        <f t="shared" si="92"/>
        <v>46319</v>
      </c>
      <c r="Q1139" s="43">
        <f t="shared" si="93"/>
        <v>0</v>
      </c>
      <c r="R1139" s="43">
        <f t="shared" ca="1" si="94"/>
        <v>0</v>
      </c>
      <c r="S1139" s="22"/>
      <c r="T1139" s="25">
        <v>46139</v>
      </c>
    </row>
    <row r="1140" spans="1:20" x14ac:dyDescent="0.3">
      <c r="A1140" s="13">
        <v>1137</v>
      </c>
      <c r="B1140" s="4" t="s">
        <v>700</v>
      </c>
      <c r="C1140" s="39">
        <f t="shared" ca="1" si="90"/>
        <v>0</v>
      </c>
      <c r="D1140" t="s">
        <v>97</v>
      </c>
      <c r="E1140" t="s">
        <v>206</v>
      </c>
      <c r="F1140" s="7" t="s">
        <v>78</v>
      </c>
      <c r="G1140" s="6" t="s">
        <v>681</v>
      </c>
      <c r="H1140" s="2" t="s">
        <v>681</v>
      </c>
      <c r="I1140" s="1">
        <v>90</v>
      </c>
      <c r="J1140" s="1">
        <v>15</v>
      </c>
      <c r="L1140" s="45">
        <f t="shared" si="91"/>
        <v>46230</v>
      </c>
      <c r="M1140" s="46">
        <f t="shared" si="92"/>
        <v>46230</v>
      </c>
      <c r="Q1140" s="43">
        <f t="shared" si="93"/>
        <v>0</v>
      </c>
      <c r="R1140" s="43">
        <f t="shared" ca="1" si="94"/>
        <v>0</v>
      </c>
      <c r="S1140" s="22"/>
      <c r="T1140" s="25">
        <v>46140</v>
      </c>
    </row>
    <row r="1141" spans="1:20" x14ac:dyDescent="0.3">
      <c r="A1141" s="13">
        <v>1138</v>
      </c>
      <c r="B1141" s="4" t="s">
        <v>700</v>
      </c>
      <c r="C1141" s="39">
        <f t="shared" ca="1" si="90"/>
        <v>0</v>
      </c>
      <c r="D1141" t="s">
        <v>97</v>
      </c>
      <c r="E1141" t="s">
        <v>207</v>
      </c>
      <c r="F1141" s="7" t="s">
        <v>78</v>
      </c>
      <c r="G1141" s="6" t="s">
        <v>681</v>
      </c>
      <c r="H1141" s="2" t="s">
        <v>681</v>
      </c>
      <c r="I1141" s="1">
        <v>90</v>
      </c>
      <c r="J1141" s="1">
        <v>15</v>
      </c>
      <c r="L1141" s="45">
        <f t="shared" si="91"/>
        <v>46231</v>
      </c>
      <c r="M1141" s="46">
        <f t="shared" si="92"/>
        <v>46231</v>
      </c>
      <c r="Q1141" s="43">
        <f t="shared" si="93"/>
        <v>0</v>
      </c>
      <c r="R1141" s="43">
        <f t="shared" ca="1" si="94"/>
        <v>0</v>
      </c>
      <c r="S1141" s="22"/>
      <c r="T1141" s="25">
        <v>46141</v>
      </c>
    </row>
    <row r="1142" spans="1:20" x14ac:dyDescent="0.3">
      <c r="A1142" s="13">
        <v>1139</v>
      </c>
      <c r="B1142" s="4" t="s">
        <v>700</v>
      </c>
      <c r="C1142" s="39">
        <f t="shared" ca="1" si="90"/>
        <v>0</v>
      </c>
      <c r="D1142" t="s">
        <v>97</v>
      </c>
      <c r="E1142" t="s">
        <v>208</v>
      </c>
      <c r="F1142" s="7" t="s">
        <v>78</v>
      </c>
      <c r="G1142" s="6" t="s">
        <v>681</v>
      </c>
      <c r="H1142" s="2" t="s">
        <v>681</v>
      </c>
      <c r="I1142" s="1">
        <v>90</v>
      </c>
      <c r="J1142" s="1">
        <v>15</v>
      </c>
      <c r="L1142" s="45">
        <f t="shared" si="91"/>
        <v>46232</v>
      </c>
      <c r="M1142" s="46">
        <f t="shared" si="92"/>
        <v>46232</v>
      </c>
      <c r="Q1142" s="43">
        <f t="shared" si="93"/>
        <v>0</v>
      </c>
      <c r="R1142" s="43">
        <f t="shared" ca="1" si="94"/>
        <v>0</v>
      </c>
      <c r="S1142" s="22"/>
      <c r="T1142" s="25">
        <v>46142</v>
      </c>
    </row>
    <row r="1143" spans="1:20" x14ac:dyDescent="0.3">
      <c r="A1143" s="13">
        <v>1140</v>
      </c>
      <c r="B1143" s="4" t="s">
        <v>700</v>
      </c>
      <c r="C1143" s="39">
        <f t="shared" ca="1" si="90"/>
        <v>0</v>
      </c>
      <c r="D1143" t="s">
        <v>97</v>
      </c>
      <c r="E1143" t="s">
        <v>209</v>
      </c>
      <c r="F1143" s="7" t="s">
        <v>78</v>
      </c>
      <c r="G1143" s="6" t="s">
        <v>681</v>
      </c>
      <c r="H1143" s="2" t="s">
        <v>681</v>
      </c>
      <c r="I1143" s="1">
        <v>90</v>
      </c>
      <c r="J1143" s="1">
        <v>15</v>
      </c>
      <c r="L1143" s="45">
        <f t="shared" si="91"/>
        <v>46233</v>
      </c>
      <c r="M1143" s="46">
        <f t="shared" si="92"/>
        <v>46233</v>
      </c>
      <c r="Q1143" s="43">
        <f t="shared" si="93"/>
        <v>0</v>
      </c>
      <c r="R1143" s="43">
        <f t="shared" ca="1" si="94"/>
        <v>0</v>
      </c>
      <c r="S1143" s="22"/>
      <c r="T1143" s="25">
        <v>46143</v>
      </c>
    </row>
    <row r="1144" spans="1:20" x14ac:dyDescent="0.3">
      <c r="A1144" s="13">
        <v>1141</v>
      </c>
      <c r="B1144" s="4" t="s">
        <v>700</v>
      </c>
      <c r="C1144" s="39">
        <f t="shared" ca="1" si="90"/>
        <v>0</v>
      </c>
      <c r="D1144" t="s">
        <v>97</v>
      </c>
      <c r="E1144" t="s">
        <v>210</v>
      </c>
      <c r="F1144" s="7" t="s">
        <v>78</v>
      </c>
      <c r="G1144" s="6" t="s">
        <v>681</v>
      </c>
      <c r="H1144" s="2" t="s">
        <v>681</v>
      </c>
      <c r="I1144" s="1">
        <v>90</v>
      </c>
      <c r="J1144" s="1">
        <v>15</v>
      </c>
      <c r="L1144" s="45">
        <f t="shared" si="91"/>
        <v>46234</v>
      </c>
      <c r="M1144" s="46">
        <f t="shared" si="92"/>
        <v>46234</v>
      </c>
      <c r="Q1144" s="43">
        <f t="shared" si="93"/>
        <v>0</v>
      </c>
      <c r="R1144" s="43">
        <f t="shared" ca="1" si="94"/>
        <v>0</v>
      </c>
      <c r="S1144" s="22"/>
      <c r="T1144" s="25">
        <v>46144</v>
      </c>
    </row>
    <row r="1145" spans="1:20" x14ac:dyDescent="0.3">
      <c r="A1145" s="13">
        <v>1142</v>
      </c>
      <c r="B1145" s="4" t="s">
        <v>700</v>
      </c>
      <c r="C1145" s="39">
        <f t="shared" ca="1" si="90"/>
        <v>0</v>
      </c>
      <c r="D1145" t="s">
        <v>97</v>
      </c>
      <c r="E1145" t="s">
        <v>188</v>
      </c>
      <c r="F1145" s="7" t="s">
        <v>78</v>
      </c>
      <c r="G1145" s="6" t="s">
        <v>681</v>
      </c>
      <c r="H1145" s="2" t="s">
        <v>681</v>
      </c>
      <c r="I1145" s="1">
        <v>90</v>
      </c>
      <c r="J1145" s="1">
        <v>15</v>
      </c>
      <c r="L1145" s="45">
        <f t="shared" si="91"/>
        <v>46235</v>
      </c>
      <c r="M1145" s="46">
        <f t="shared" si="92"/>
        <v>46235</v>
      </c>
      <c r="Q1145" s="43">
        <f t="shared" si="93"/>
        <v>0</v>
      </c>
      <c r="R1145" s="43">
        <f t="shared" ca="1" si="94"/>
        <v>0</v>
      </c>
      <c r="S1145" s="22"/>
      <c r="T1145" s="25">
        <v>46145</v>
      </c>
    </row>
    <row r="1146" spans="1:20" x14ac:dyDescent="0.3">
      <c r="A1146" s="13">
        <v>1143</v>
      </c>
      <c r="B1146" s="4" t="s">
        <v>700</v>
      </c>
      <c r="C1146" s="39">
        <f t="shared" ca="1" si="90"/>
        <v>0</v>
      </c>
      <c r="D1146" t="s">
        <v>98</v>
      </c>
      <c r="E1146" t="s">
        <v>205</v>
      </c>
      <c r="F1146" s="7" t="s">
        <v>78</v>
      </c>
      <c r="G1146" s="6" t="s">
        <v>681</v>
      </c>
      <c r="H1146" s="2" t="s">
        <v>681</v>
      </c>
      <c r="I1146" s="1">
        <v>90</v>
      </c>
      <c r="J1146" s="1">
        <v>15</v>
      </c>
      <c r="L1146" s="45">
        <f t="shared" si="91"/>
        <v>46236</v>
      </c>
      <c r="M1146" s="46">
        <f t="shared" si="92"/>
        <v>46236</v>
      </c>
      <c r="Q1146" s="43">
        <f t="shared" si="93"/>
        <v>0</v>
      </c>
      <c r="R1146" s="43">
        <f t="shared" ca="1" si="94"/>
        <v>0</v>
      </c>
      <c r="S1146" s="22"/>
      <c r="T1146" s="25">
        <v>46146</v>
      </c>
    </row>
    <row r="1147" spans="1:20" x14ac:dyDescent="0.3">
      <c r="A1147" s="13">
        <v>1144</v>
      </c>
      <c r="B1147" s="4" t="s">
        <v>700</v>
      </c>
      <c r="C1147" s="39">
        <f t="shared" ca="1" si="90"/>
        <v>0</v>
      </c>
      <c r="D1147" t="s">
        <v>98</v>
      </c>
      <c r="E1147" t="s">
        <v>190</v>
      </c>
      <c r="F1147" s="7" t="s">
        <v>78</v>
      </c>
      <c r="G1147" s="6" t="s">
        <v>681</v>
      </c>
      <c r="H1147" s="2" t="s">
        <v>681</v>
      </c>
      <c r="I1147" s="1">
        <v>90</v>
      </c>
      <c r="J1147" s="1">
        <v>15</v>
      </c>
      <c r="L1147" s="45">
        <f t="shared" si="91"/>
        <v>46237</v>
      </c>
      <c r="M1147" s="46">
        <f t="shared" si="92"/>
        <v>46237</v>
      </c>
      <c r="Q1147" s="43">
        <f t="shared" si="93"/>
        <v>0</v>
      </c>
      <c r="R1147" s="43">
        <f t="shared" ca="1" si="94"/>
        <v>0</v>
      </c>
      <c r="S1147" s="22"/>
      <c r="T1147" s="25">
        <v>46147</v>
      </c>
    </row>
    <row r="1148" spans="1:20" x14ac:dyDescent="0.3">
      <c r="A1148" s="13">
        <v>1145</v>
      </c>
      <c r="B1148" s="4" t="s">
        <v>700</v>
      </c>
      <c r="C1148" s="39">
        <f t="shared" ca="1" si="90"/>
        <v>0</v>
      </c>
      <c r="D1148" t="s">
        <v>98</v>
      </c>
      <c r="E1148" t="s">
        <v>210</v>
      </c>
      <c r="F1148" s="7" t="s">
        <v>78</v>
      </c>
      <c r="G1148" s="6" t="s">
        <v>681</v>
      </c>
      <c r="H1148" s="2" t="s">
        <v>681</v>
      </c>
      <c r="I1148" s="1">
        <v>90</v>
      </c>
      <c r="J1148" s="1">
        <v>15</v>
      </c>
      <c r="L1148" s="45">
        <f t="shared" si="91"/>
        <v>46238</v>
      </c>
      <c r="M1148" s="46">
        <f t="shared" si="92"/>
        <v>46238</v>
      </c>
      <c r="Q1148" s="43">
        <f t="shared" si="93"/>
        <v>0</v>
      </c>
      <c r="R1148" s="43">
        <f t="shared" ca="1" si="94"/>
        <v>0</v>
      </c>
      <c r="S1148" s="22"/>
      <c r="T1148" s="25">
        <v>46148</v>
      </c>
    </row>
    <row r="1149" spans="1:20" x14ac:dyDescent="0.3">
      <c r="A1149" s="13">
        <v>1146</v>
      </c>
      <c r="B1149" s="4" t="s">
        <v>700</v>
      </c>
      <c r="C1149" s="39">
        <f t="shared" ca="1" si="90"/>
        <v>0</v>
      </c>
      <c r="D1149" t="s">
        <v>98</v>
      </c>
      <c r="E1149" t="s">
        <v>211</v>
      </c>
      <c r="F1149" s="7" t="s">
        <v>78</v>
      </c>
      <c r="G1149" s="6" t="s">
        <v>681</v>
      </c>
      <c r="H1149" s="2" t="s">
        <v>681</v>
      </c>
      <c r="I1149" s="1">
        <v>90</v>
      </c>
      <c r="J1149" s="1">
        <v>15</v>
      </c>
      <c r="L1149" s="45">
        <f t="shared" si="91"/>
        <v>46239</v>
      </c>
      <c r="M1149" s="46">
        <f t="shared" si="92"/>
        <v>46239</v>
      </c>
      <c r="Q1149" s="43">
        <f t="shared" si="93"/>
        <v>0</v>
      </c>
      <c r="R1149" s="43">
        <f t="shared" ca="1" si="94"/>
        <v>0</v>
      </c>
      <c r="S1149" s="22"/>
      <c r="T1149" s="25">
        <v>46149</v>
      </c>
    </row>
    <row r="1150" spans="1:20" x14ac:dyDescent="0.3">
      <c r="A1150" s="13">
        <v>1147</v>
      </c>
      <c r="B1150" s="4" t="s">
        <v>700</v>
      </c>
      <c r="C1150" s="39">
        <f t="shared" ca="1" si="90"/>
        <v>0</v>
      </c>
      <c r="D1150" t="s">
        <v>98</v>
      </c>
      <c r="E1150" t="s">
        <v>204</v>
      </c>
      <c r="F1150" s="7" t="s">
        <v>78</v>
      </c>
      <c r="G1150" s="6" t="s">
        <v>681</v>
      </c>
      <c r="H1150" s="2" t="s">
        <v>681</v>
      </c>
      <c r="I1150" s="1">
        <v>90</v>
      </c>
      <c r="J1150" s="1">
        <v>15</v>
      </c>
      <c r="L1150" s="45">
        <f t="shared" si="91"/>
        <v>46240</v>
      </c>
      <c r="M1150" s="46">
        <f t="shared" si="92"/>
        <v>46240</v>
      </c>
      <c r="Q1150" s="43">
        <f t="shared" si="93"/>
        <v>0</v>
      </c>
      <c r="R1150" s="43">
        <f t="shared" ca="1" si="94"/>
        <v>0</v>
      </c>
      <c r="S1150" s="22"/>
      <c r="T1150" s="25">
        <v>46150</v>
      </c>
    </row>
    <row r="1151" spans="1:20" x14ac:dyDescent="0.3">
      <c r="A1151" s="13">
        <v>1148</v>
      </c>
      <c r="B1151" s="4" t="s">
        <v>700</v>
      </c>
      <c r="C1151" s="39">
        <f t="shared" ca="1" si="90"/>
        <v>0</v>
      </c>
      <c r="D1151" t="s">
        <v>98</v>
      </c>
      <c r="E1151" t="s">
        <v>188</v>
      </c>
      <c r="F1151" s="7" t="s">
        <v>78</v>
      </c>
      <c r="G1151" s="6" t="s">
        <v>681</v>
      </c>
      <c r="H1151" s="2" t="s">
        <v>681</v>
      </c>
      <c r="I1151" s="1">
        <v>90</v>
      </c>
      <c r="J1151" s="1">
        <v>15</v>
      </c>
      <c r="L1151" s="45">
        <f t="shared" si="91"/>
        <v>46241</v>
      </c>
      <c r="M1151" s="46">
        <f t="shared" si="92"/>
        <v>46241</v>
      </c>
      <c r="Q1151" s="43">
        <f t="shared" si="93"/>
        <v>0</v>
      </c>
      <c r="R1151" s="43">
        <f t="shared" ca="1" si="94"/>
        <v>0</v>
      </c>
      <c r="S1151" s="22"/>
      <c r="T1151" s="25">
        <v>46151</v>
      </c>
    </row>
    <row r="1152" spans="1:20" x14ac:dyDescent="0.3">
      <c r="A1152" s="13">
        <v>1149</v>
      </c>
      <c r="B1152" s="4" t="s">
        <v>701</v>
      </c>
      <c r="C1152" s="39">
        <f t="shared" ca="1" si="90"/>
        <v>0</v>
      </c>
      <c r="D1152" t="s">
        <v>99</v>
      </c>
      <c r="E1152" t="s">
        <v>200</v>
      </c>
      <c r="F1152" s="7" t="s">
        <v>78</v>
      </c>
      <c r="G1152" s="6" t="s">
        <v>681</v>
      </c>
      <c r="H1152" s="2" t="s">
        <v>681</v>
      </c>
      <c r="I1152" s="1">
        <v>90</v>
      </c>
      <c r="J1152" s="1">
        <v>15</v>
      </c>
      <c r="L1152" s="45">
        <f t="shared" si="91"/>
        <v>46242</v>
      </c>
      <c r="M1152" s="46">
        <f t="shared" si="92"/>
        <v>46242</v>
      </c>
      <c r="Q1152" s="43">
        <f t="shared" si="93"/>
        <v>0</v>
      </c>
      <c r="R1152" s="43">
        <f t="shared" ca="1" si="94"/>
        <v>0</v>
      </c>
      <c r="S1152" s="22"/>
      <c r="T1152" s="25">
        <v>46152</v>
      </c>
    </row>
    <row r="1153" spans="1:20" x14ac:dyDescent="0.3">
      <c r="A1153" s="13">
        <v>1150</v>
      </c>
      <c r="B1153" s="4" t="s">
        <v>701</v>
      </c>
      <c r="C1153" s="39">
        <f t="shared" ca="1" si="90"/>
        <v>0</v>
      </c>
      <c r="D1153" t="s">
        <v>99</v>
      </c>
      <c r="E1153" t="s">
        <v>190</v>
      </c>
      <c r="F1153" s="7" t="s">
        <v>78</v>
      </c>
      <c r="G1153" s="6" t="s">
        <v>681</v>
      </c>
      <c r="H1153" s="2" t="s">
        <v>681</v>
      </c>
      <c r="I1153" s="1">
        <v>90</v>
      </c>
      <c r="J1153" s="1">
        <v>15</v>
      </c>
      <c r="L1153" s="45">
        <f t="shared" si="91"/>
        <v>46243</v>
      </c>
      <c r="M1153" s="46">
        <f t="shared" si="92"/>
        <v>46243</v>
      </c>
      <c r="Q1153" s="43">
        <f t="shared" si="93"/>
        <v>0</v>
      </c>
      <c r="R1153" s="43">
        <f t="shared" ca="1" si="94"/>
        <v>0</v>
      </c>
      <c r="S1153" s="22"/>
      <c r="T1153" s="25">
        <v>46153</v>
      </c>
    </row>
    <row r="1154" spans="1:20" x14ac:dyDescent="0.3">
      <c r="A1154" s="13">
        <v>1151</v>
      </c>
      <c r="B1154" s="4" t="s">
        <v>701</v>
      </c>
      <c r="C1154" s="39">
        <f t="shared" ca="1" si="90"/>
        <v>0</v>
      </c>
      <c r="D1154" t="s">
        <v>99</v>
      </c>
      <c r="E1154" t="s">
        <v>212</v>
      </c>
      <c r="F1154" s="7" t="s">
        <v>78</v>
      </c>
      <c r="G1154" s="6" t="s">
        <v>681</v>
      </c>
      <c r="H1154" s="2" t="s">
        <v>681</v>
      </c>
      <c r="I1154" s="1">
        <v>90</v>
      </c>
      <c r="J1154" s="1">
        <v>15</v>
      </c>
      <c r="L1154" s="45">
        <f t="shared" si="91"/>
        <v>46244</v>
      </c>
      <c r="M1154" s="46">
        <f t="shared" si="92"/>
        <v>46244</v>
      </c>
      <c r="Q1154" s="43">
        <f t="shared" si="93"/>
        <v>0</v>
      </c>
      <c r="R1154" s="43">
        <f t="shared" ca="1" si="94"/>
        <v>0</v>
      </c>
      <c r="S1154" s="22"/>
      <c r="T1154" s="25">
        <v>46154</v>
      </c>
    </row>
    <row r="1155" spans="1:20" x14ac:dyDescent="0.3">
      <c r="A1155" s="13">
        <v>1152</v>
      </c>
      <c r="B1155" s="4" t="s">
        <v>701</v>
      </c>
      <c r="C1155" s="39">
        <f t="shared" ca="1" si="90"/>
        <v>0</v>
      </c>
      <c r="D1155" t="s">
        <v>99</v>
      </c>
      <c r="E1155" t="s">
        <v>213</v>
      </c>
      <c r="F1155" s="7" t="s">
        <v>78</v>
      </c>
      <c r="G1155" s="6" t="s">
        <v>681</v>
      </c>
      <c r="H1155" s="2" t="s">
        <v>681</v>
      </c>
      <c r="I1155" s="1">
        <v>90</v>
      </c>
      <c r="J1155" s="1">
        <v>15</v>
      </c>
      <c r="L1155" s="45">
        <f t="shared" si="91"/>
        <v>46245</v>
      </c>
      <c r="M1155" s="46">
        <f t="shared" si="92"/>
        <v>46245</v>
      </c>
      <c r="Q1155" s="43">
        <f t="shared" si="93"/>
        <v>0</v>
      </c>
      <c r="R1155" s="43">
        <f t="shared" ca="1" si="94"/>
        <v>0</v>
      </c>
      <c r="S1155" s="22"/>
      <c r="T1155" s="25">
        <v>46155</v>
      </c>
    </row>
    <row r="1156" spans="1:20" x14ac:dyDescent="0.3">
      <c r="A1156" s="13">
        <v>1153</v>
      </c>
      <c r="B1156" s="4" t="s">
        <v>701</v>
      </c>
      <c r="C1156" s="39">
        <f t="shared" ca="1" si="90"/>
        <v>0</v>
      </c>
      <c r="D1156" t="s">
        <v>99</v>
      </c>
      <c r="E1156" t="s">
        <v>214</v>
      </c>
      <c r="F1156" s="7" t="s">
        <v>78</v>
      </c>
      <c r="G1156" s="6" t="s">
        <v>681</v>
      </c>
      <c r="H1156" s="2" t="s">
        <v>681</v>
      </c>
      <c r="I1156" s="1">
        <v>90</v>
      </c>
      <c r="J1156" s="1">
        <v>15</v>
      </c>
      <c r="L1156" s="45">
        <f t="shared" si="91"/>
        <v>46246</v>
      </c>
      <c r="M1156" s="46">
        <f t="shared" si="92"/>
        <v>46246</v>
      </c>
      <c r="Q1156" s="43">
        <f t="shared" si="93"/>
        <v>0</v>
      </c>
      <c r="R1156" s="43">
        <f t="shared" ca="1" si="94"/>
        <v>0</v>
      </c>
      <c r="S1156" s="22"/>
      <c r="T1156" s="25">
        <v>46156</v>
      </c>
    </row>
    <row r="1157" spans="1:20" x14ac:dyDescent="0.3">
      <c r="A1157" s="13">
        <v>1154</v>
      </c>
      <c r="B1157" s="4" t="s">
        <v>701</v>
      </c>
      <c r="C1157" s="39">
        <f t="shared" ref="C1157:C1211" ca="1" si="95">IF(L1157&lt;=$A$2,1,0)</f>
        <v>0</v>
      </c>
      <c r="D1157" t="s">
        <v>100</v>
      </c>
      <c r="E1157" t="s">
        <v>205</v>
      </c>
      <c r="F1157" s="7" t="s">
        <v>78</v>
      </c>
      <c r="G1157" s="6" t="s">
        <v>681</v>
      </c>
      <c r="H1157" s="2" t="s">
        <v>681</v>
      </c>
      <c r="I1157" s="1">
        <v>90</v>
      </c>
      <c r="J1157" s="1">
        <v>15</v>
      </c>
      <c r="L1157" s="45">
        <f t="shared" ref="L1157:L1204" si="96">IF(N1157="",M1157,N1157)</f>
        <v>46247</v>
      </c>
      <c r="M1157" s="46">
        <f t="shared" si="92"/>
        <v>46247</v>
      </c>
      <c r="Q1157" s="43">
        <f t="shared" si="93"/>
        <v>0</v>
      </c>
      <c r="R1157" s="43">
        <f t="shared" ca="1" si="94"/>
        <v>0</v>
      </c>
      <c r="S1157" s="22"/>
      <c r="T1157" s="25">
        <v>46157</v>
      </c>
    </row>
    <row r="1158" spans="1:20" x14ac:dyDescent="0.3">
      <c r="A1158" s="13">
        <v>1155</v>
      </c>
      <c r="B1158" s="4" t="s">
        <v>701</v>
      </c>
      <c r="C1158" s="39">
        <f t="shared" ca="1" si="95"/>
        <v>0</v>
      </c>
      <c r="D1158" t="s">
        <v>100</v>
      </c>
      <c r="E1158" t="s">
        <v>190</v>
      </c>
      <c r="F1158" s="7" t="s">
        <v>78</v>
      </c>
      <c r="G1158" s="6" t="s">
        <v>681</v>
      </c>
      <c r="H1158" s="2" t="s">
        <v>681</v>
      </c>
      <c r="I1158" s="1">
        <v>90</v>
      </c>
      <c r="J1158" s="1">
        <v>15</v>
      </c>
      <c r="L1158" s="45">
        <f t="shared" si="96"/>
        <v>46248</v>
      </c>
      <c r="M1158" s="46">
        <f t="shared" si="92"/>
        <v>46248</v>
      </c>
      <c r="Q1158" s="43">
        <f t="shared" si="93"/>
        <v>0</v>
      </c>
      <c r="R1158" s="43">
        <f t="shared" ca="1" si="94"/>
        <v>0</v>
      </c>
      <c r="S1158" s="22"/>
      <c r="T1158" s="25">
        <v>46158</v>
      </c>
    </row>
    <row r="1159" spans="1:20" x14ac:dyDescent="0.3">
      <c r="A1159" s="13">
        <v>1156</v>
      </c>
      <c r="B1159" s="4" t="s">
        <v>701</v>
      </c>
      <c r="C1159" s="39">
        <f t="shared" ca="1" si="95"/>
        <v>0</v>
      </c>
      <c r="D1159" t="s">
        <v>100</v>
      </c>
      <c r="E1159" t="s">
        <v>215</v>
      </c>
      <c r="F1159" s="7" t="s">
        <v>78</v>
      </c>
      <c r="G1159" s="6" t="s">
        <v>681</v>
      </c>
      <c r="H1159" s="2" t="s">
        <v>681</v>
      </c>
      <c r="I1159" s="1">
        <v>90</v>
      </c>
      <c r="J1159" s="1">
        <v>15</v>
      </c>
      <c r="L1159" s="45">
        <f t="shared" si="96"/>
        <v>46249</v>
      </c>
      <c r="M1159" s="46">
        <f t="shared" si="92"/>
        <v>46249</v>
      </c>
      <c r="Q1159" s="43">
        <f t="shared" si="93"/>
        <v>0</v>
      </c>
      <c r="R1159" s="43">
        <f t="shared" ca="1" si="94"/>
        <v>0</v>
      </c>
      <c r="S1159" s="22"/>
      <c r="T1159" s="25">
        <v>46159</v>
      </c>
    </row>
    <row r="1160" spans="1:20" x14ac:dyDescent="0.3">
      <c r="A1160" s="13">
        <v>1157</v>
      </c>
      <c r="B1160" s="4" t="s">
        <v>701</v>
      </c>
      <c r="C1160" s="39">
        <f t="shared" ca="1" si="95"/>
        <v>0</v>
      </c>
      <c r="D1160" t="s">
        <v>100</v>
      </c>
      <c r="E1160" t="s">
        <v>216</v>
      </c>
      <c r="F1160" s="7" t="s">
        <v>78</v>
      </c>
      <c r="G1160" s="6" t="s">
        <v>681</v>
      </c>
      <c r="H1160" s="2" t="s">
        <v>681</v>
      </c>
      <c r="I1160" s="1">
        <v>90</v>
      </c>
      <c r="J1160" s="1">
        <v>15</v>
      </c>
      <c r="L1160" s="45">
        <f t="shared" si="96"/>
        <v>46250</v>
      </c>
      <c r="M1160" s="46">
        <f t="shared" si="92"/>
        <v>46250</v>
      </c>
      <c r="Q1160" s="43">
        <f t="shared" si="93"/>
        <v>0</v>
      </c>
      <c r="R1160" s="43">
        <f t="shared" ca="1" si="94"/>
        <v>0</v>
      </c>
      <c r="S1160" s="22"/>
      <c r="T1160" s="25">
        <v>46160</v>
      </c>
    </row>
    <row r="1161" spans="1:20" x14ac:dyDescent="0.3">
      <c r="A1161" s="13">
        <v>1158</v>
      </c>
      <c r="B1161" s="4" t="s">
        <v>701</v>
      </c>
      <c r="C1161" s="39">
        <f t="shared" ca="1" si="95"/>
        <v>0</v>
      </c>
      <c r="D1161" t="s">
        <v>100</v>
      </c>
      <c r="E1161" t="s">
        <v>188</v>
      </c>
      <c r="F1161" s="7" t="s">
        <v>78</v>
      </c>
      <c r="G1161" s="6" t="s">
        <v>681</v>
      </c>
      <c r="H1161" s="2" t="s">
        <v>681</v>
      </c>
      <c r="I1161" s="1">
        <v>90</v>
      </c>
      <c r="J1161" s="1">
        <v>15</v>
      </c>
      <c r="L1161" s="45">
        <f t="shared" si="96"/>
        <v>46251</v>
      </c>
      <c r="M1161" s="46">
        <f t="shared" si="92"/>
        <v>46251</v>
      </c>
      <c r="Q1161" s="43">
        <f t="shared" si="93"/>
        <v>0</v>
      </c>
      <c r="R1161" s="43">
        <f t="shared" ca="1" si="94"/>
        <v>0</v>
      </c>
      <c r="S1161" s="22"/>
      <c r="T1161" s="25">
        <v>46161</v>
      </c>
    </row>
    <row r="1162" spans="1:20" x14ac:dyDescent="0.3">
      <c r="A1162" s="13">
        <v>1159</v>
      </c>
      <c r="B1162" s="4" t="s">
        <v>702</v>
      </c>
      <c r="C1162" s="39">
        <f t="shared" ca="1" si="95"/>
        <v>0</v>
      </c>
      <c r="D1162" t="s">
        <v>101</v>
      </c>
      <c r="E1162" t="s">
        <v>205</v>
      </c>
      <c r="F1162" s="7" t="s">
        <v>78</v>
      </c>
      <c r="G1162" s="6" t="s">
        <v>681</v>
      </c>
      <c r="H1162" s="2" t="s">
        <v>681</v>
      </c>
      <c r="I1162" s="1">
        <v>90</v>
      </c>
      <c r="J1162" s="1">
        <v>15</v>
      </c>
      <c r="L1162" s="45">
        <f t="shared" si="96"/>
        <v>46252</v>
      </c>
      <c r="M1162" s="46">
        <f t="shared" si="92"/>
        <v>46252</v>
      </c>
      <c r="Q1162" s="43">
        <f t="shared" si="93"/>
        <v>0</v>
      </c>
      <c r="R1162" s="43">
        <f t="shared" ca="1" si="94"/>
        <v>0</v>
      </c>
      <c r="S1162" s="22"/>
      <c r="T1162" s="25">
        <v>46162</v>
      </c>
    </row>
    <row r="1163" spans="1:20" x14ac:dyDescent="0.3">
      <c r="A1163" s="13">
        <v>1160</v>
      </c>
      <c r="B1163" s="4" t="s">
        <v>702</v>
      </c>
      <c r="C1163" s="39">
        <f t="shared" ca="1" si="95"/>
        <v>0</v>
      </c>
      <c r="D1163" t="s">
        <v>101</v>
      </c>
      <c r="E1163" t="s">
        <v>217</v>
      </c>
      <c r="F1163" s="7" t="s">
        <v>78</v>
      </c>
      <c r="G1163" s="6" t="s">
        <v>681</v>
      </c>
      <c r="H1163" s="2" t="s">
        <v>681</v>
      </c>
      <c r="I1163" s="1">
        <v>90</v>
      </c>
      <c r="J1163" s="1">
        <v>15</v>
      </c>
      <c r="L1163" s="45">
        <f t="shared" si="96"/>
        <v>46253</v>
      </c>
      <c r="M1163" s="46">
        <f t="shared" si="92"/>
        <v>46253</v>
      </c>
      <c r="Q1163" s="43">
        <f t="shared" si="93"/>
        <v>0</v>
      </c>
      <c r="R1163" s="43">
        <f t="shared" ca="1" si="94"/>
        <v>0</v>
      </c>
      <c r="S1163" s="22"/>
      <c r="T1163" s="25">
        <v>46163</v>
      </c>
    </row>
    <row r="1164" spans="1:20" x14ac:dyDescent="0.3">
      <c r="A1164" s="13">
        <v>1161</v>
      </c>
      <c r="B1164" s="4" t="s">
        <v>702</v>
      </c>
      <c r="C1164" s="39">
        <f t="shared" ca="1" si="95"/>
        <v>0</v>
      </c>
      <c r="D1164" t="s">
        <v>101</v>
      </c>
      <c r="E1164" t="s">
        <v>210</v>
      </c>
      <c r="F1164" s="7" t="s">
        <v>78</v>
      </c>
      <c r="G1164" s="6" t="s">
        <v>681</v>
      </c>
      <c r="H1164" s="2" t="s">
        <v>681</v>
      </c>
      <c r="I1164" s="1">
        <v>90</v>
      </c>
      <c r="J1164" s="1">
        <v>15</v>
      </c>
      <c r="L1164" s="45">
        <f t="shared" si="96"/>
        <v>46254</v>
      </c>
      <c r="M1164" s="46">
        <f t="shared" si="92"/>
        <v>46254</v>
      </c>
      <c r="Q1164" s="43">
        <f t="shared" si="93"/>
        <v>0</v>
      </c>
      <c r="R1164" s="43">
        <f t="shared" ca="1" si="94"/>
        <v>0</v>
      </c>
      <c r="S1164" s="22"/>
      <c r="T1164" s="25">
        <v>46164</v>
      </c>
    </row>
    <row r="1165" spans="1:20" x14ac:dyDescent="0.3">
      <c r="A1165" s="13">
        <v>1162</v>
      </c>
      <c r="B1165" s="4" t="s">
        <v>702</v>
      </c>
      <c r="C1165" s="39">
        <f t="shared" ca="1" si="95"/>
        <v>0</v>
      </c>
      <c r="D1165" t="s">
        <v>101</v>
      </c>
      <c r="E1165" t="s">
        <v>213</v>
      </c>
      <c r="F1165" s="7" t="s">
        <v>78</v>
      </c>
      <c r="G1165" s="6" t="s">
        <v>681</v>
      </c>
      <c r="H1165" s="2" t="s">
        <v>681</v>
      </c>
      <c r="I1165" s="1">
        <v>90</v>
      </c>
      <c r="J1165" s="1">
        <v>15</v>
      </c>
      <c r="L1165" s="45">
        <f t="shared" si="96"/>
        <v>46255</v>
      </c>
      <c r="M1165" s="46">
        <f t="shared" si="92"/>
        <v>46255</v>
      </c>
      <c r="Q1165" s="43">
        <f t="shared" si="93"/>
        <v>0</v>
      </c>
      <c r="R1165" s="43">
        <f t="shared" ca="1" si="94"/>
        <v>0</v>
      </c>
      <c r="S1165" s="22"/>
      <c r="T1165" s="25">
        <v>46165</v>
      </c>
    </row>
    <row r="1166" spans="1:20" x14ac:dyDescent="0.3">
      <c r="A1166" s="13">
        <v>1163</v>
      </c>
      <c r="B1166" s="4" t="s">
        <v>702</v>
      </c>
      <c r="C1166" s="39">
        <f t="shared" ca="1" si="95"/>
        <v>0</v>
      </c>
      <c r="D1166" t="s">
        <v>101</v>
      </c>
      <c r="E1166" t="s">
        <v>142</v>
      </c>
      <c r="F1166" s="7" t="s">
        <v>78</v>
      </c>
      <c r="G1166" s="6" t="s">
        <v>681</v>
      </c>
      <c r="H1166" s="2" t="s">
        <v>681</v>
      </c>
      <c r="I1166" s="1">
        <v>90</v>
      </c>
      <c r="J1166" s="1">
        <v>15</v>
      </c>
      <c r="L1166" s="45">
        <f t="shared" si="96"/>
        <v>46256</v>
      </c>
      <c r="M1166" s="46">
        <f t="shared" si="92"/>
        <v>46256</v>
      </c>
      <c r="Q1166" s="43">
        <f t="shared" si="93"/>
        <v>0</v>
      </c>
      <c r="R1166" s="43">
        <f t="shared" ca="1" si="94"/>
        <v>0</v>
      </c>
      <c r="S1166" s="22"/>
      <c r="T1166" s="25">
        <v>46166</v>
      </c>
    </row>
    <row r="1167" spans="1:20" x14ac:dyDescent="0.3">
      <c r="A1167" s="13">
        <v>1164</v>
      </c>
      <c r="B1167" s="4" t="s">
        <v>703</v>
      </c>
      <c r="C1167" s="39">
        <f t="shared" ca="1" si="95"/>
        <v>0</v>
      </c>
      <c r="D1167" t="s">
        <v>260</v>
      </c>
      <c r="E1167" t="s">
        <v>200</v>
      </c>
      <c r="F1167" s="7" t="s">
        <v>78</v>
      </c>
      <c r="G1167" s="6" t="s">
        <v>681</v>
      </c>
      <c r="H1167" s="2" t="s">
        <v>681</v>
      </c>
      <c r="I1167" s="1">
        <v>30</v>
      </c>
      <c r="J1167" s="1">
        <v>30</v>
      </c>
      <c r="L1167" s="45">
        <f t="shared" si="96"/>
        <v>46197</v>
      </c>
      <c r="M1167" s="46">
        <f t="shared" si="92"/>
        <v>46197</v>
      </c>
      <c r="Q1167" s="43">
        <f t="shared" si="93"/>
        <v>0</v>
      </c>
      <c r="R1167" s="43">
        <f t="shared" ca="1" si="94"/>
        <v>0</v>
      </c>
      <c r="S1167" s="22"/>
      <c r="T1167" s="25">
        <v>46167</v>
      </c>
    </row>
    <row r="1168" spans="1:20" x14ac:dyDescent="0.3">
      <c r="A1168" s="13">
        <v>1165</v>
      </c>
      <c r="B1168" s="4" t="s">
        <v>703</v>
      </c>
      <c r="C1168" s="39">
        <f t="shared" ca="1" si="95"/>
        <v>0</v>
      </c>
      <c r="D1168" t="s">
        <v>260</v>
      </c>
      <c r="E1168" t="s">
        <v>190</v>
      </c>
      <c r="F1168" s="7" t="s">
        <v>78</v>
      </c>
      <c r="G1168" s="6" t="s">
        <v>681</v>
      </c>
      <c r="H1168" s="2" t="s">
        <v>681</v>
      </c>
      <c r="I1168" s="1">
        <v>30</v>
      </c>
      <c r="J1168" s="1">
        <v>30</v>
      </c>
      <c r="L1168" s="45">
        <f t="shared" si="96"/>
        <v>46198</v>
      </c>
      <c r="M1168" s="46">
        <f t="shared" si="92"/>
        <v>46198</v>
      </c>
      <c r="Q1168" s="43">
        <f t="shared" si="93"/>
        <v>0</v>
      </c>
      <c r="R1168" s="43">
        <f t="shared" ca="1" si="94"/>
        <v>0</v>
      </c>
      <c r="S1168" s="22"/>
      <c r="T1168" s="25">
        <v>46168</v>
      </c>
    </row>
    <row r="1169" spans="1:20" x14ac:dyDescent="0.3">
      <c r="A1169" s="13">
        <v>1166</v>
      </c>
      <c r="B1169" s="4" t="s">
        <v>703</v>
      </c>
      <c r="C1169" s="39">
        <f t="shared" ca="1" si="95"/>
        <v>0</v>
      </c>
      <c r="D1169" t="s">
        <v>260</v>
      </c>
      <c r="E1169" t="s">
        <v>667</v>
      </c>
      <c r="F1169" s="7" t="s">
        <v>78</v>
      </c>
      <c r="G1169" s="6" t="s">
        <v>681</v>
      </c>
      <c r="H1169" s="2" t="s">
        <v>681</v>
      </c>
      <c r="I1169" s="1">
        <v>90</v>
      </c>
      <c r="J1169" s="1">
        <v>15</v>
      </c>
      <c r="L1169" s="45">
        <f t="shared" si="96"/>
        <v>46259</v>
      </c>
      <c r="M1169" s="46">
        <f t="shared" si="92"/>
        <v>46259</v>
      </c>
      <c r="Q1169" s="43">
        <f t="shared" si="93"/>
        <v>0</v>
      </c>
      <c r="R1169" s="43">
        <f t="shared" ca="1" si="94"/>
        <v>0</v>
      </c>
      <c r="S1169" s="22"/>
      <c r="T1169" s="25">
        <v>46169</v>
      </c>
    </row>
    <row r="1170" spans="1:20" x14ac:dyDescent="0.3">
      <c r="A1170" s="13">
        <v>1167</v>
      </c>
      <c r="B1170" s="4" t="s">
        <v>703</v>
      </c>
      <c r="C1170" s="39">
        <f t="shared" ca="1" si="95"/>
        <v>0</v>
      </c>
      <c r="D1170" t="s">
        <v>260</v>
      </c>
      <c r="E1170" t="s">
        <v>668</v>
      </c>
      <c r="F1170" s="7" t="s">
        <v>78</v>
      </c>
      <c r="G1170" s="6" t="s">
        <v>681</v>
      </c>
      <c r="H1170" s="2" t="s">
        <v>681</v>
      </c>
      <c r="I1170" s="1">
        <v>7</v>
      </c>
      <c r="J1170" s="1">
        <v>30</v>
      </c>
      <c r="L1170" s="45">
        <f t="shared" si="96"/>
        <v>46177</v>
      </c>
      <c r="M1170" s="46">
        <f t="shared" si="92"/>
        <v>46177</v>
      </c>
      <c r="Q1170" s="43">
        <f t="shared" si="93"/>
        <v>0</v>
      </c>
      <c r="R1170" s="43">
        <f t="shared" ca="1" si="94"/>
        <v>0</v>
      </c>
      <c r="S1170" s="22"/>
      <c r="T1170" s="25">
        <v>46170</v>
      </c>
    </row>
    <row r="1171" spans="1:20" x14ac:dyDescent="0.3">
      <c r="A1171" s="13">
        <v>1168</v>
      </c>
      <c r="B1171" s="4" t="s">
        <v>703</v>
      </c>
      <c r="C1171" s="39">
        <f t="shared" ca="1" si="95"/>
        <v>0</v>
      </c>
      <c r="D1171" t="s">
        <v>260</v>
      </c>
      <c r="E1171" t="s">
        <v>669</v>
      </c>
      <c r="F1171" s="7" t="s">
        <v>78</v>
      </c>
      <c r="G1171" s="6" t="s">
        <v>681</v>
      </c>
      <c r="H1171" s="2" t="s">
        <v>681</v>
      </c>
      <c r="I1171" s="1">
        <v>7</v>
      </c>
      <c r="J1171" s="1">
        <v>30</v>
      </c>
      <c r="L1171" s="45">
        <f t="shared" si="96"/>
        <v>46178</v>
      </c>
      <c r="M1171" s="46">
        <f t="shared" si="92"/>
        <v>46178</v>
      </c>
      <c r="Q1171" s="43">
        <f t="shared" si="93"/>
        <v>0</v>
      </c>
      <c r="R1171" s="43">
        <f t="shared" ca="1" si="94"/>
        <v>0</v>
      </c>
      <c r="S1171" s="22"/>
      <c r="T1171" s="25">
        <v>46171</v>
      </c>
    </row>
    <row r="1172" spans="1:20" x14ac:dyDescent="0.3">
      <c r="A1172" s="13">
        <v>1169</v>
      </c>
      <c r="B1172" s="4" t="s">
        <v>703</v>
      </c>
      <c r="C1172" s="39">
        <f t="shared" ca="1" si="95"/>
        <v>0</v>
      </c>
      <c r="D1172" t="s">
        <v>260</v>
      </c>
      <c r="E1172" t="s">
        <v>188</v>
      </c>
      <c r="F1172" s="7" t="s">
        <v>78</v>
      </c>
      <c r="G1172" s="6" t="s">
        <v>681</v>
      </c>
      <c r="H1172" s="2" t="s">
        <v>681</v>
      </c>
      <c r="I1172" s="1">
        <v>90</v>
      </c>
      <c r="J1172" s="1">
        <v>30</v>
      </c>
      <c r="L1172" s="45">
        <f t="shared" si="96"/>
        <v>46262</v>
      </c>
      <c r="M1172" s="46">
        <f t="shared" si="92"/>
        <v>46262</v>
      </c>
      <c r="Q1172" s="43">
        <f t="shared" si="93"/>
        <v>0</v>
      </c>
      <c r="R1172" s="43">
        <f t="shared" ca="1" si="94"/>
        <v>0</v>
      </c>
      <c r="S1172" s="22"/>
      <c r="T1172" s="25">
        <v>46172</v>
      </c>
    </row>
    <row r="1173" spans="1:20" x14ac:dyDescent="0.3">
      <c r="A1173" s="13">
        <v>1170</v>
      </c>
      <c r="B1173" s="1" t="s">
        <v>704</v>
      </c>
      <c r="C1173" s="39">
        <f t="shared" ca="1" si="95"/>
        <v>0</v>
      </c>
      <c r="D1173" t="s">
        <v>102</v>
      </c>
      <c r="E1173" t="s">
        <v>205</v>
      </c>
      <c r="F1173" s="7" t="s">
        <v>78</v>
      </c>
      <c r="G1173" s="6" t="s">
        <v>681</v>
      </c>
      <c r="H1173" s="2" t="s">
        <v>681</v>
      </c>
      <c r="I1173" s="1">
        <v>90</v>
      </c>
      <c r="J1173" s="1">
        <v>15</v>
      </c>
      <c r="L1173" s="45">
        <f t="shared" si="96"/>
        <v>46263</v>
      </c>
      <c r="M1173" s="46">
        <f t="shared" si="92"/>
        <v>46263</v>
      </c>
      <c r="Q1173" s="43">
        <f t="shared" si="93"/>
        <v>0</v>
      </c>
      <c r="R1173" s="43">
        <f t="shared" ca="1" si="94"/>
        <v>0</v>
      </c>
      <c r="S1173" s="22"/>
      <c r="T1173" s="25">
        <v>46173</v>
      </c>
    </row>
    <row r="1174" spans="1:20" x14ac:dyDescent="0.3">
      <c r="A1174" s="13">
        <v>1171</v>
      </c>
      <c r="B1174" s="1" t="s">
        <v>704</v>
      </c>
      <c r="C1174" s="39">
        <f t="shared" ca="1" si="95"/>
        <v>0</v>
      </c>
      <c r="D1174" t="s">
        <v>102</v>
      </c>
      <c r="E1174" t="s">
        <v>217</v>
      </c>
      <c r="F1174" s="7" t="s">
        <v>78</v>
      </c>
      <c r="G1174" s="6" t="s">
        <v>681</v>
      </c>
      <c r="H1174" s="2" t="s">
        <v>681</v>
      </c>
      <c r="I1174" s="1">
        <v>90</v>
      </c>
      <c r="J1174" s="1">
        <v>15</v>
      </c>
      <c r="L1174" s="45">
        <f t="shared" si="96"/>
        <v>46264</v>
      </c>
      <c r="M1174" s="46">
        <f t="shared" si="92"/>
        <v>46264</v>
      </c>
      <c r="Q1174" s="43">
        <f t="shared" si="93"/>
        <v>0</v>
      </c>
      <c r="R1174" s="43">
        <f t="shared" ca="1" si="94"/>
        <v>0</v>
      </c>
      <c r="S1174" s="22"/>
      <c r="T1174" s="25">
        <v>46174</v>
      </c>
    </row>
    <row r="1175" spans="1:20" x14ac:dyDescent="0.3">
      <c r="A1175" s="13">
        <v>1172</v>
      </c>
      <c r="B1175" s="1" t="s">
        <v>704</v>
      </c>
      <c r="C1175" s="39">
        <f t="shared" ca="1" si="95"/>
        <v>0</v>
      </c>
      <c r="D1175" t="s">
        <v>102</v>
      </c>
      <c r="E1175" t="s">
        <v>210</v>
      </c>
      <c r="F1175" s="7" t="s">
        <v>78</v>
      </c>
      <c r="G1175" s="6" t="s">
        <v>681</v>
      </c>
      <c r="H1175" s="2" t="s">
        <v>681</v>
      </c>
      <c r="I1175" s="1">
        <v>90</v>
      </c>
      <c r="J1175" s="1">
        <v>15</v>
      </c>
      <c r="L1175" s="45">
        <f t="shared" si="96"/>
        <v>46265</v>
      </c>
      <c r="M1175" s="46">
        <f t="shared" si="92"/>
        <v>46265</v>
      </c>
      <c r="Q1175" s="43">
        <f t="shared" si="93"/>
        <v>0</v>
      </c>
      <c r="R1175" s="43">
        <f t="shared" ca="1" si="94"/>
        <v>0</v>
      </c>
      <c r="S1175" s="22"/>
      <c r="T1175" s="25">
        <v>46175</v>
      </c>
    </row>
    <row r="1176" spans="1:20" x14ac:dyDescent="0.3">
      <c r="A1176" s="13">
        <v>1173</v>
      </c>
      <c r="B1176" s="1" t="s">
        <v>704</v>
      </c>
      <c r="C1176" s="39">
        <f t="shared" ca="1" si="95"/>
        <v>0</v>
      </c>
      <c r="D1176" t="s">
        <v>102</v>
      </c>
      <c r="E1176" t="s">
        <v>213</v>
      </c>
      <c r="F1176" s="7" t="s">
        <v>78</v>
      </c>
      <c r="G1176" s="6" t="s">
        <v>681</v>
      </c>
      <c r="H1176" s="2" t="s">
        <v>681</v>
      </c>
      <c r="I1176" s="1">
        <v>90</v>
      </c>
      <c r="J1176" s="1">
        <v>15</v>
      </c>
      <c r="L1176" s="45">
        <f t="shared" si="96"/>
        <v>46266</v>
      </c>
      <c r="M1176" s="46">
        <f t="shared" si="92"/>
        <v>46266</v>
      </c>
      <c r="Q1176" s="43">
        <f t="shared" si="93"/>
        <v>0</v>
      </c>
      <c r="R1176" s="43">
        <f t="shared" ca="1" si="94"/>
        <v>0</v>
      </c>
      <c r="S1176" s="22"/>
      <c r="T1176" s="25">
        <v>46176</v>
      </c>
    </row>
    <row r="1177" spans="1:20" x14ac:dyDescent="0.3">
      <c r="A1177" s="13">
        <v>1174</v>
      </c>
      <c r="B1177" s="1" t="s">
        <v>704</v>
      </c>
      <c r="C1177" s="39">
        <f t="shared" ca="1" si="95"/>
        <v>0</v>
      </c>
      <c r="D1177" t="s">
        <v>102</v>
      </c>
      <c r="E1177" t="s">
        <v>142</v>
      </c>
      <c r="F1177" s="7" t="s">
        <v>78</v>
      </c>
      <c r="G1177" s="6" t="s">
        <v>681</v>
      </c>
      <c r="H1177" s="2" t="s">
        <v>681</v>
      </c>
      <c r="I1177" s="1">
        <v>90</v>
      </c>
      <c r="J1177" s="1">
        <v>15</v>
      </c>
      <c r="L1177" s="45">
        <f t="shared" si="96"/>
        <v>46267</v>
      </c>
      <c r="M1177" s="46">
        <f t="shared" si="92"/>
        <v>46267</v>
      </c>
      <c r="Q1177" s="43">
        <f t="shared" si="93"/>
        <v>0</v>
      </c>
      <c r="R1177" s="43">
        <f t="shared" ca="1" si="94"/>
        <v>0</v>
      </c>
      <c r="S1177" s="22"/>
      <c r="T1177" s="25">
        <v>46177</v>
      </c>
    </row>
    <row r="1178" spans="1:20" x14ac:dyDescent="0.3">
      <c r="A1178" s="13">
        <v>1175</v>
      </c>
      <c r="B1178" s="1" t="s">
        <v>704</v>
      </c>
      <c r="C1178" s="39">
        <f t="shared" ca="1" si="95"/>
        <v>0</v>
      </c>
      <c r="D1178" t="s">
        <v>261</v>
      </c>
      <c r="E1178" t="s">
        <v>670</v>
      </c>
      <c r="F1178" s="7" t="s">
        <v>78</v>
      </c>
      <c r="G1178" s="6" t="s">
        <v>681</v>
      </c>
      <c r="H1178" s="2" t="s">
        <v>681</v>
      </c>
      <c r="I1178" s="1">
        <v>14</v>
      </c>
      <c r="J1178" s="1">
        <v>30</v>
      </c>
      <c r="L1178" s="45">
        <f t="shared" si="96"/>
        <v>46192</v>
      </c>
      <c r="M1178" s="46">
        <f t="shared" si="92"/>
        <v>46192</v>
      </c>
      <c r="Q1178" s="43">
        <f t="shared" si="93"/>
        <v>0</v>
      </c>
      <c r="R1178" s="43">
        <f t="shared" ca="1" si="94"/>
        <v>0</v>
      </c>
      <c r="S1178" s="22"/>
      <c r="T1178" s="25">
        <v>46178</v>
      </c>
    </row>
    <row r="1179" spans="1:20" x14ac:dyDescent="0.3">
      <c r="A1179" s="13">
        <v>1176</v>
      </c>
      <c r="B1179" s="1" t="s">
        <v>704</v>
      </c>
      <c r="C1179" s="39">
        <f t="shared" ca="1" si="95"/>
        <v>0</v>
      </c>
      <c r="D1179" t="s">
        <v>261</v>
      </c>
      <c r="E1179" t="s">
        <v>207</v>
      </c>
      <c r="F1179" s="7" t="s">
        <v>78</v>
      </c>
      <c r="G1179" s="6" t="s">
        <v>681</v>
      </c>
      <c r="H1179" s="2" t="s">
        <v>681</v>
      </c>
      <c r="I1179" s="1">
        <v>14</v>
      </c>
      <c r="J1179" s="1">
        <v>30</v>
      </c>
      <c r="L1179" s="45">
        <f t="shared" si="96"/>
        <v>46193</v>
      </c>
      <c r="M1179" s="46">
        <f t="shared" si="92"/>
        <v>46193</v>
      </c>
      <c r="Q1179" s="43">
        <f t="shared" si="93"/>
        <v>0</v>
      </c>
      <c r="R1179" s="43">
        <f t="shared" ca="1" si="94"/>
        <v>0</v>
      </c>
      <c r="S1179" s="22"/>
      <c r="T1179" s="25">
        <v>46179</v>
      </c>
    </row>
    <row r="1180" spans="1:20" x14ac:dyDescent="0.3">
      <c r="A1180" s="13">
        <v>1177</v>
      </c>
      <c r="B1180" s="1" t="s">
        <v>704</v>
      </c>
      <c r="C1180" s="39">
        <f t="shared" ca="1" si="95"/>
        <v>0</v>
      </c>
      <c r="D1180" t="s">
        <v>261</v>
      </c>
      <c r="E1180" t="s">
        <v>671</v>
      </c>
      <c r="F1180" s="7" t="s">
        <v>78</v>
      </c>
      <c r="G1180" s="6" t="s">
        <v>681</v>
      </c>
      <c r="H1180" s="2" t="s">
        <v>681</v>
      </c>
      <c r="I1180" s="1">
        <v>14</v>
      </c>
      <c r="J1180" s="1">
        <v>30</v>
      </c>
      <c r="L1180" s="45">
        <f t="shared" si="96"/>
        <v>46194</v>
      </c>
      <c r="M1180" s="46">
        <f t="shared" si="92"/>
        <v>46194</v>
      </c>
      <c r="Q1180" s="43">
        <f t="shared" si="93"/>
        <v>0</v>
      </c>
      <c r="R1180" s="43">
        <f t="shared" ca="1" si="94"/>
        <v>0</v>
      </c>
      <c r="S1180" s="22"/>
      <c r="T1180" s="25">
        <v>46180</v>
      </c>
    </row>
    <row r="1181" spans="1:20" x14ac:dyDescent="0.3">
      <c r="A1181" s="13">
        <v>1178</v>
      </c>
      <c r="B1181" s="1" t="s">
        <v>704</v>
      </c>
      <c r="C1181" s="39">
        <f t="shared" ca="1" si="95"/>
        <v>0</v>
      </c>
      <c r="D1181" t="s">
        <v>261</v>
      </c>
      <c r="E1181" t="s">
        <v>209</v>
      </c>
      <c r="F1181" s="7" t="s">
        <v>78</v>
      </c>
      <c r="G1181" s="6" t="s">
        <v>681</v>
      </c>
      <c r="H1181" s="2" t="s">
        <v>681</v>
      </c>
      <c r="I1181" s="1">
        <v>14</v>
      </c>
      <c r="J1181" s="1">
        <v>30</v>
      </c>
      <c r="L1181" s="45">
        <f>IF(N1181="",M1181,N1181)</f>
        <v>46195</v>
      </c>
      <c r="M1181" s="46">
        <f t="shared" si="92"/>
        <v>46195</v>
      </c>
      <c r="Q1181" s="43">
        <f t="shared" si="93"/>
        <v>0</v>
      </c>
      <c r="R1181" s="43">
        <f t="shared" ca="1" si="94"/>
        <v>0</v>
      </c>
      <c r="S1181" s="22"/>
      <c r="T1181" s="25">
        <v>46181</v>
      </c>
    </row>
    <row r="1182" spans="1:20" x14ac:dyDescent="0.3">
      <c r="A1182" s="13">
        <v>1179</v>
      </c>
      <c r="B1182" s="1" t="s">
        <v>704</v>
      </c>
      <c r="C1182" s="39">
        <f t="shared" ca="1" si="95"/>
        <v>0</v>
      </c>
      <c r="D1182" t="s">
        <v>261</v>
      </c>
      <c r="E1182" t="s">
        <v>672</v>
      </c>
      <c r="F1182" s="7" t="s">
        <v>78</v>
      </c>
      <c r="G1182" s="6" t="s">
        <v>681</v>
      </c>
      <c r="H1182" s="2" t="s">
        <v>681</v>
      </c>
      <c r="I1182" s="1">
        <v>14</v>
      </c>
      <c r="J1182" s="1">
        <v>15</v>
      </c>
      <c r="L1182" s="45">
        <f t="shared" si="96"/>
        <v>46196</v>
      </c>
      <c r="M1182" s="46">
        <f t="shared" si="92"/>
        <v>46196</v>
      </c>
      <c r="Q1182" s="43">
        <f t="shared" si="93"/>
        <v>0</v>
      </c>
      <c r="R1182" s="43">
        <f t="shared" ca="1" si="94"/>
        <v>0</v>
      </c>
      <c r="S1182" s="22"/>
      <c r="T1182" s="25">
        <v>46182</v>
      </c>
    </row>
    <row r="1183" spans="1:20" x14ac:dyDescent="0.3">
      <c r="A1183" s="13">
        <v>1180</v>
      </c>
      <c r="B1183" s="1" t="s">
        <v>704</v>
      </c>
      <c r="C1183" s="39">
        <f t="shared" ca="1" si="95"/>
        <v>0</v>
      </c>
      <c r="D1183" t="s">
        <v>261</v>
      </c>
      <c r="E1183" t="s">
        <v>213</v>
      </c>
      <c r="F1183" s="7" t="s">
        <v>78</v>
      </c>
      <c r="G1183" s="6" t="s">
        <v>681</v>
      </c>
      <c r="H1183" s="2" t="s">
        <v>681</v>
      </c>
      <c r="I1183" s="1">
        <v>14</v>
      </c>
      <c r="J1183" s="1">
        <v>15</v>
      </c>
      <c r="L1183" s="45">
        <f t="shared" si="96"/>
        <v>46197</v>
      </c>
      <c r="M1183" s="46">
        <f t="shared" si="92"/>
        <v>46197</v>
      </c>
      <c r="Q1183" s="43">
        <f t="shared" si="93"/>
        <v>0</v>
      </c>
      <c r="R1183" s="43">
        <f t="shared" ca="1" si="94"/>
        <v>0</v>
      </c>
      <c r="S1183" s="22"/>
      <c r="T1183" s="25">
        <v>46183</v>
      </c>
    </row>
    <row r="1184" spans="1:20" x14ac:dyDescent="0.3">
      <c r="A1184" s="13">
        <v>1181</v>
      </c>
      <c r="B1184" s="1" t="s">
        <v>704</v>
      </c>
      <c r="C1184" s="39">
        <f t="shared" ca="1" si="95"/>
        <v>0</v>
      </c>
      <c r="D1184" t="s">
        <v>261</v>
      </c>
      <c r="E1184" t="s">
        <v>142</v>
      </c>
      <c r="F1184" s="7" t="s">
        <v>78</v>
      </c>
      <c r="G1184" s="6" t="s">
        <v>681</v>
      </c>
      <c r="H1184" s="2" t="s">
        <v>681</v>
      </c>
      <c r="I1184" s="1">
        <v>14</v>
      </c>
      <c r="J1184" s="1">
        <v>15</v>
      </c>
      <c r="L1184" s="45">
        <f t="shared" si="96"/>
        <v>46198</v>
      </c>
      <c r="M1184" s="46">
        <f t="shared" si="92"/>
        <v>46198</v>
      </c>
      <c r="Q1184" s="43">
        <f t="shared" si="93"/>
        <v>0</v>
      </c>
      <c r="R1184" s="43">
        <f t="shared" ca="1" si="94"/>
        <v>0</v>
      </c>
      <c r="S1184" s="22"/>
      <c r="T1184" s="25">
        <v>46184</v>
      </c>
    </row>
    <row r="1185" spans="1:20" x14ac:dyDescent="0.3">
      <c r="A1185" s="13">
        <v>1182</v>
      </c>
      <c r="B1185" s="1" t="s">
        <v>706</v>
      </c>
      <c r="C1185" s="39">
        <f t="shared" ca="1" si="95"/>
        <v>0</v>
      </c>
      <c r="D1185" t="s">
        <v>220</v>
      </c>
      <c r="E1185" t="s">
        <v>205</v>
      </c>
      <c r="F1185" s="7" t="s">
        <v>78</v>
      </c>
      <c r="G1185" s="6" t="s">
        <v>681</v>
      </c>
      <c r="H1185" s="2" t="s">
        <v>681</v>
      </c>
      <c r="I1185" s="1">
        <v>180</v>
      </c>
      <c r="J1185" s="1">
        <v>15</v>
      </c>
      <c r="L1185" s="45">
        <f t="shared" si="96"/>
        <v>46365</v>
      </c>
      <c r="M1185" s="46">
        <f t="shared" ref="M1185:M1204" si="97">T1185+I1185</f>
        <v>46365</v>
      </c>
      <c r="Q1185" s="43">
        <f t="shared" ref="Q1185:Q1204" si="98">IF(O1185&lt;&gt;0,1,0)</f>
        <v>0</v>
      </c>
      <c r="R1185" s="43">
        <f t="shared" ref="R1185:R1204" ca="1" si="99">IF(AND(L1185&lt;($A$2+7), L1185&gt;($A$2+6)),1,0)</f>
        <v>0</v>
      </c>
      <c r="S1185" s="22"/>
      <c r="T1185" s="25">
        <v>46185</v>
      </c>
    </row>
    <row r="1186" spans="1:20" x14ac:dyDescent="0.3">
      <c r="A1186" s="13">
        <v>1183</v>
      </c>
      <c r="B1186" s="1" t="s">
        <v>706</v>
      </c>
      <c r="C1186" s="39">
        <f t="shared" ca="1" si="95"/>
        <v>0</v>
      </c>
      <c r="D1186" t="s">
        <v>220</v>
      </c>
      <c r="E1186" t="s">
        <v>217</v>
      </c>
      <c r="F1186" s="7" t="s">
        <v>78</v>
      </c>
      <c r="G1186" s="6" t="s">
        <v>681</v>
      </c>
      <c r="H1186" s="2" t="s">
        <v>681</v>
      </c>
      <c r="I1186" s="1">
        <v>180</v>
      </c>
      <c r="J1186" s="1">
        <v>15</v>
      </c>
      <c r="L1186" s="45">
        <f t="shared" si="96"/>
        <v>46366</v>
      </c>
      <c r="M1186" s="46">
        <f t="shared" si="97"/>
        <v>46366</v>
      </c>
      <c r="Q1186" s="43">
        <f t="shared" si="98"/>
        <v>0</v>
      </c>
      <c r="R1186" s="43">
        <f t="shared" ca="1" si="99"/>
        <v>0</v>
      </c>
      <c r="S1186" s="22"/>
      <c r="T1186" s="25">
        <v>46186</v>
      </c>
    </row>
    <row r="1187" spans="1:20" x14ac:dyDescent="0.3">
      <c r="A1187" s="13">
        <v>1184</v>
      </c>
      <c r="B1187" s="1" t="s">
        <v>706</v>
      </c>
      <c r="C1187" s="39">
        <f t="shared" ca="1" si="95"/>
        <v>0</v>
      </c>
      <c r="D1187" t="s">
        <v>220</v>
      </c>
      <c r="E1187" t="s">
        <v>210</v>
      </c>
      <c r="F1187" s="7" t="s">
        <v>78</v>
      </c>
      <c r="G1187" s="6" t="s">
        <v>681</v>
      </c>
      <c r="H1187" s="2" t="s">
        <v>681</v>
      </c>
      <c r="I1187" s="1">
        <v>180</v>
      </c>
      <c r="J1187" s="1">
        <v>15</v>
      </c>
      <c r="L1187" s="45">
        <f t="shared" si="96"/>
        <v>46367</v>
      </c>
      <c r="M1187" s="46">
        <f t="shared" si="97"/>
        <v>46367</v>
      </c>
      <c r="Q1187" s="43">
        <f t="shared" si="98"/>
        <v>0</v>
      </c>
      <c r="R1187" s="43">
        <f t="shared" ca="1" si="99"/>
        <v>0</v>
      </c>
      <c r="S1187" s="22"/>
      <c r="T1187" s="25">
        <v>46187</v>
      </c>
    </row>
    <row r="1188" spans="1:20" x14ac:dyDescent="0.3">
      <c r="A1188" s="13">
        <v>1185</v>
      </c>
      <c r="B1188" s="1" t="s">
        <v>706</v>
      </c>
      <c r="C1188" s="39">
        <f t="shared" ca="1" si="95"/>
        <v>0</v>
      </c>
      <c r="D1188" t="s">
        <v>220</v>
      </c>
      <c r="E1188" t="s">
        <v>213</v>
      </c>
      <c r="F1188" s="7" t="s">
        <v>78</v>
      </c>
      <c r="G1188" s="6" t="s">
        <v>681</v>
      </c>
      <c r="H1188" s="2" t="s">
        <v>681</v>
      </c>
      <c r="I1188" s="1">
        <v>180</v>
      </c>
      <c r="J1188" s="1">
        <v>15</v>
      </c>
      <c r="L1188" s="45">
        <f t="shared" si="96"/>
        <v>46368</v>
      </c>
      <c r="M1188" s="46">
        <f t="shared" si="97"/>
        <v>46368</v>
      </c>
      <c r="Q1188" s="43">
        <f t="shared" si="98"/>
        <v>0</v>
      </c>
      <c r="R1188" s="43">
        <f t="shared" ca="1" si="99"/>
        <v>0</v>
      </c>
      <c r="S1188" s="22"/>
      <c r="T1188" s="25">
        <v>46188</v>
      </c>
    </row>
    <row r="1189" spans="1:20" x14ac:dyDescent="0.3">
      <c r="A1189" s="13">
        <v>1186</v>
      </c>
      <c r="B1189" s="1" t="s">
        <v>706</v>
      </c>
      <c r="C1189" s="39">
        <f t="shared" ca="1" si="95"/>
        <v>0</v>
      </c>
      <c r="D1189" t="s">
        <v>220</v>
      </c>
      <c r="E1189" t="s">
        <v>142</v>
      </c>
      <c r="F1189" s="7" t="s">
        <v>78</v>
      </c>
      <c r="G1189" s="6" t="s">
        <v>681</v>
      </c>
      <c r="H1189" s="2" t="s">
        <v>681</v>
      </c>
      <c r="I1189" s="1">
        <v>180</v>
      </c>
      <c r="J1189" s="1">
        <v>15</v>
      </c>
      <c r="L1189" s="45">
        <f t="shared" si="96"/>
        <v>46369</v>
      </c>
      <c r="M1189" s="46">
        <f t="shared" si="97"/>
        <v>46369</v>
      </c>
      <c r="Q1189" s="43">
        <f t="shared" si="98"/>
        <v>0</v>
      </c>
      <c r="R1189" s="43">
        <f t="shared" ca="1" si="99"/>
        <v>0</v>
      </c>
      <c r="S1189" s="22"/>
      <c r="T1189" s="25">
        <v>46189</v>
      </c>
    </row>
    <row r="1190" spans="1:20" x14ac:dyDescent="0.3">
      <c r="A1190" s="13">
        <v>1187</v>
      </c>
      <c r="B1190" s="1" t="s">
        <v>706</v>
      </c>
      <c r="C1190" s="39">
        <f t="shared" ca="1" si="95"/>
        <v>0</v>
      </c>
      <c r="D1190" t="s">
        <v>262</v>
      </c>
      <c r="E1190" t="s">
        <v>205</v>
      </c>
      <c r="F1190" s="7" t="s">
        <v>78</v>
      </c>
      <c r="G1190" s="6" t="s">
        <v>681</v>
      </c>
      <c r="H1190" s="2" t="s">
        <v>681</v>
      </c>
      <c r="I1190" s="1">
        <v>90</v>
      </c>
      <c r="J1190" s="1">
        <v>30</v>
      </c>
      <c r="L1190" s="45">
        <f t="shared" si="96"/>
        <v>46280</v>
      </c>
      <c r="M1190" s="46">
        <f t="shared" si="97"/>
        <v>46280</v>
      </c>
      <c r="Q1190" s="43">
        <f t="shared" si="98"/>
        <v>0</v>
      </c>
      <c r="R1190" s="43">
        <f t="shared" ca="1" si="99"/>
        <v>0</v>
      </c>
      <c r="S1190" s="22"/>
      <c r="T1190" s="25">
        <v>46190</v>
      </c>
    </row>
    <row r="1191" spans="1:20" x14ac:dyDescent="0.3">
      <c r="A1191" s="13">
        <v>1188</v>
      </c>
      <c r="B1191" s="1" t="s">
        <v>706</v>
      </c>
      <c r="C1191" s="39">
        <f t="shared" ca="1" si="95"/>
        <v>0</v>
      </c>
      <c r="D1191" t="s">
        <v>262</v>
      </c>
      <c r="E1191" t="s">
        <v>190</v>
      </c>
      <c r="F1191" s="7" t="s">
        <v>78</v>
      </c>
      <c r="G1191" s="6" t="s">
        <v>681</v>
      </c>
      <c r="H1191" s="2" t="s">
        <v>681</v>
      </c>
      <c r="I1191" s="1">
        <v>90</v>
      </c>
      <c r="J1191" s="1">
        <v>30</v>
      </c>
      <c r="L1191" s="45">
        <f t="shared" si="96"/>
        <v>46281</v>
      </c>
      <c r="M1191" s="46">
        <f t="shared" si="97"/>
        <v>46281</v>
      </c>
      <c r="Q1191" s="43">
        <f t="shared" si="98"/>
        <v>0</v>
      </c>
      <c r="R1191" s="43">
        <f t="shared" ca="1" si="99"/>
        <v>0</v>
      </c>
      <c r="S1191" s="22"/>
      <c r="T1191" s="25">
        <v>46191</v>
      </c>
    </row>
    <row r="1192" spans="1:20" x14ac:dyDescent="0.3">
      <c r="A1192" s="13">
        <v>1189</v>
      </c>
      <c r="B1192" s="1" t="s">
        <v>706</v>
      </c>
      <c r="C1192" s="39">
        <f t="shared" ca="1" si="95"/>
        <v>0</v>
      </c>
      <c r="D1192" t="s">
        <v>262</v>
      </c>
      <c r="E1192" t="s">
        <v>673</v>
      </c>
      <c r="F1192" s="7" t="s">
        <v>78</v>
      </c>
      <c r="G1192" s="6" t="s">
        <v>681</v>
      </c>
      <c r="H1192" s="2" t="s">
        <v>681</v>
      </c>
      <c r="I1192" s="1">
        <v>90</v>
      </c>
      <c r="J1192" s="1">
        <v>30</v>
      </c>
      <c r="L1192" s="45">
        <f t="shared" si="96"/>
        <v>46282</v>
      </c>
      <c r="M1192" s="46">
        <f t="shared" si="97"/>
        <v>46282</v>
      </c>
      <c r="Q1192" s="43">
        <f t="shared" si="98"/>
        <v>0</v>
      </c>
      <c r="R1192" s="43">
        <f t="shared" ca="1" si="99"/>
        <v>0</v>
      </c>
      <c r="S1192" s="22"/>
      <c r="T1192" s="25">
        <v>46192</v>
      </c>
    </row>
    <row r="1193" spans="1:20" x14ac:dyDescent="0.3">
      <c r="A1193" s="13">
        <v>1190</v>
      </c>
      <c r="B1193" s="1" t="s">
        <v>706</v>
      </c>
      <c r="C1193" s="39">
        <f t="shared" ca="1" si="95"/>
        <v>0</v>
      </c>
      <c r="D1193" t="s">
        <v>262</v>
      </c>
      <c r="E1193" t="s">
        <v>674</v>
      </c>
      <c r="F1193" s="7" t="s">
        <v>78</v>
      </c>
      <c r="G1193" s="6" t="s">
        <v>681</v>
      </c>
      <c r="H1193" s="2" t="s">
        <v>681</v>
      </c>
      <c r="I1193" s="1">
        <v>90</v>
      </c>
      <c r="J1193" s="1">
        <v>15</v>
      </c>
      <c r="L1193" s="45">
        <f t="shared" si="96"/>
        <v>46283</v>
      </c>
      <c r="M1193" s="46">
        <f t="shared" si="97"/>
        <v>46283</v>
      </c>
      <c r="Q1193" s="43">
        <f t="shared" si="98"/>
        <v>0</v>
      </c>
      <c r="R1193" s="43">
        <f t="shared" ca="1" si="99"/>
        <v>0</v>
      </c>
      <c r="S1193" s="22"/>
      <c r="T1193" s="25">
        <v>46193</v>
      </c>
    </row>
    <row r="1194" spans="1:20" x14ac:dyDescent="0.3">
      <c r="A1194" s="13">
        <v>1191</v>
      </c>
      <c r="B1194" s="1" t="s">
        <v>706</v>
      </c>
      <c r="C1194" s="39">
        <f t="shared" ca="1" si="95"/>
        <v>0</v>
      </c>
      <c r="D1194" t="s">
        <v>262</v>
      </c>
      <c r="E1194" t="s">
        <v>213</v>
      </c>
      <c r="F1194" s="7" t="s">
        <v>78</v>
      </c>
      <c r="G1194" s="6" t="s">
        <v>681</v>
      </c>
      <c r="H1194" s="2" t="s">
        <v>681</v>
      </c>
      <c r="I1194" s="1">
        <v>90</v>
      </c>
      <c r="J1194" s="1">
        <v>15</v>
      </c>
      <c r="L1194" s="45">
        <f t="shared" si="96"/>
        <v>46284</v>
      </c>
      <c r="M1194" s="46">
        <f t="shared" si="97"/>
        <v>46284</v>
      </c>
      <c r="Q1194" s="43">
        <f t="shared" si="98"/>
        <v>0</v>
      </c>
      <c r="R1194" s="43">
        <f t="shared" ca="1" si="99"/>
        <v>0</v>
      </c>
      <c r="S1194" s="22"/>
      <c r="T1194" s="25">
        <v>46194</v>
      </c>
    </row>
    <row r="1195" spans="1:20" x14ac:dyDescent="0.3">
      <c r="A1195" s="13">
        <v>1192</v>
      </c>
      <c r="B1195" s="1" t="s">
        <v>706</v>
      </c>
      <c r="C1195" s="39">
        <f t="shared" ca="1" si="95"/>
        <v>0</v>
      </c>
      <c r="D1195" t="s">
        <v>262</v>
      </c>
      <c r="E1195" t="s">
        <v>142</v>
      </c>
      <c r="F1195" s="7" t="s">
        <v>78</v>
      </c>
      <c r="G1195" s="6" t="s">
        <v>681</v>
      </c>
      <c r="H1195" s="2" t="s">
        <v>681</v>
      </c>
      <c r="I1195" s="1">
        <v>90</v>
      </c>
      <c r="J1195" s="1">
        <v>15</v>
      </c>
      <c r="L1195" s="45">
        <f t="shared" si="96"/>
        <v>46285</v>
      </c>
      <c r="M1195" s="46">
        <f t="shared" si="97"/>
        <v>46285</v>
      </c>
      <c r="Q1195" s="43">
        <f t="shared" si="98"/>
        <v>0</v>
      </c>
      <c r="R1195" s="43">
        <f t="shared" ca="1" si="99"/>
        <v>0</v>
      </c>
      <c r="S1195" s="22"/>
      <c r="T1195" s="25">
        <v>46195</v>
      </c>
    </row>
    <row r="1196" spans="1:20" x14ac:dyDescent="0.3">
      <c r="A1196" s="13">
        <v>1193</v>
      </c>
      <c r="B1196" s="1" t="s">
        <v>707</v>
      </c>
      <c r="C1196" s="39">
        <f t="shared" ca="1" si="95"/>
        <v>0</v>
      </c>
      <c r="D1196" t="s">
        <v>103</v>
      </c>
      <c r="E1196" t="s">
        <v>205</v>
      </c>
      <c r="F1196" s="7" t="s">
        <v>78</v>
      </c>
      <c r="G1196" s="6" t="s">
        <v>681</v>
      </c>
      <c r="H1196" s="2" t="s">
        <v>681</v>
      </c>
      <c r="I1196" s="1">
        <v>90</v>
      </c>
      <c r="J1196" s="1">
        <v>15</v>
      </c>
      <c r="L1196" s="45">
        <f t="shared" si="96"/>
        <v>46286</v>
      </c>
      <c r="M1196" s="46">
        <f t="shared" si="97"/>
        <v>46286</v>
      </c>
      <c r="Q1196" s="43">
        <f t="shared" si="98"/>
        <v>0</v>
      </c>
      <c r="R1196" s="43">
        <f t="shared" ca="1" si="99"/>
        <v>0</v>
      </c>
      <c r="S1196" s="22"/>
      <c r="T1196" s="25">
        <v>46196</v>
      </c>
    </row>
    <row r="1197" spans="1:20" x14ac:dyDescent="0.3">
      <c r="A1197" s="13">
        <v>1194</v>
      </c>
      <c r="B1197" s="1" t="s">
        <v>707</v>
      </c>
      <c r="C1197" s="39">
        <f t="shared" ca="1" si="95"/>
        <v>0</v>
      </c>
      <c r="D1197" t="s">
        <v>103</v>
      </c>
      <c r="E1197" t="s">
        <v>190</v>
      </c>
      <c r="F1197" s="7" t="s">
        <v>78</v>
      </c>
      <c r="G1197" s="6" t="s">
        <v>681</v>
      </c>
      <c r="H1197" s="2" t="s">
        <v>681</v>
      </c>
      <c r="I1197" s="1">
        <v>90</v>
      </c>
      <c r="J1197" s="1">
        <v>15</v>
      </c>
      <c r="L1197" s="45">
        <f t="shared" si="96"/>
        <v>46287</v>
      </c>
      <c r="M1197" s="46">
        <f t="shared" si="97"/>
        <v>46287</v>
      </c>
      <c r="Q1197" s="43">
        <f t="shared" si="98"/>
        <v>0</v>
      </c>
      <c r="R1197" s="43">
        <f t="shared" ca="1" si="99"/>
        <v>0</v>
      </c>
      <c r="S1197" s="22"/>
      <c r="T1197" s="25">
        <v>46197</v>
      </c>
    </row>
    <row r="1198" spans="1:20" x14ac:dyDescent="0.3">
      <c r="A1198" s="13">
        <v>1195</v>
      </c>
      <c r="B1198" s="1" t="s">
        <v>707</v>
      </c>
      <c r="C1198" s="39">
        <f t="shared" ca="1" si="95"/>
        <v>0</v>
      </c>
      <c r="D1198" t="s">
        <v>103</v>
      </c>
      <c r="E1198" t="s">
        <v>218</v>
      </c>
      <c r="F1198" s="7" t="s">
        <v>78</v>
      </c>
      <c r="G1198" s="6" t="s">
        <v>681</v>
      </c>
      <c r="H1198" s="2" t="s">
        <v>681</v>
      </c>
      <c r="I1198" s="1">
        <v>90</v>
      </c>
      <c r="J1198" s="1">
        <v>115</v>
      </c>
      <c r="L1198" s="45">
        <f t="shared" si="96"/>
        <v>46288</v>
      </c>
      <c r="M1198" s="46">
        <f t="shared" si="97"/>
        <v>46288</v>
      </c>
      <c r="Q1198" s="43">
        <f t="shared" si="98"/>
        <v>0</v>
      </c>
      <c r="R1198" s="43">
        <f t="shared" ca="1" si="99"/>
        <v>0</v>
      </c>
      <c r="S1198" s="22"/>
      <c r="T1198" s="25">
        <v>46198</v>
      </c>
    </row>
    <row r="1199" spans="1:20" x14ac:dyDescent="0.3">
      <c r="A1199" s="13">
        <v>1196</v>
      </c>
      <c r="B1199" s="1" t="s">
        <v>707</v>
      </c>
      <c r="C1199" s="39">
        <f t="shared" ca="1" si="95"/>
        <v>0</v>
      </c>
      <c r="D1199" t="s">
        <v>103</v>
      </c>
      <c r="E1199" t="s">
        <v>219</v>
      </c>
      <c r="F1199" s="7" t="s">
        <v>78</v>
      </c>
      <c r="G1199" s="6" t="s">
        <v>681</v>
      </c>
      <c r="H1199" s="2" t="s">
        <v>681</v>
      </c>
      <c r="I1199" s="1">
        <v>90</v>
      </c>
      <c r="J1199" s="1">
        <v>15</v>
      </c>
      <c r="L1199" s="45">
        <f t="shared" si="96"/>
        <v>46289</v>
      </c>
      <c r="M1199" s="46">
        <f t="shared" si="97"/>
        <v>46289</v>
      </c>
      <c r="Q1199" s="43">
        <f t="shared" si="98"/>
        <v>0</v>
      </c>
      <c r="R1199" s="43">
        <f t="shared" ca="1" si="99"/>
        <v>0</v>
      </c>
      <c r="S1199" s="22"/>
      <c r="T1199" s="25">
        <v>46199</v>
      </c>
    </row>
    <row r="1200" spans="1:20" x14ac:dyDescent="0.3">
      <c r="A1200" s="13">
        <v>1197</v>
      </c>
      <c r="B1200" s="1" t="s">
        <v>707</v>
      </c>
      <c r="C1200" s="39">
        <f t="shared" ca="1" si="95"/>
        <v>0</v>
      </c>
      <c r="D1200" t="s">
        <v>103</v>
      </c>
      <c r="E1200" t="s">
        <v>213</v>
      </c>
      <c r="F1200" s="7" t="s">
        <v>78</v>
      </c>
      <c r="G1200" s="6" t="s">
        <v>681</v>
      </c>
      <c r="H1200" s="2" t="s">
        <v>681</v>
      </c>
      <c r="I1200" s="1">
        <v>90</v>
      </c>
      <c r="J1200" s="1">
        <v>15</v>
      </c>
      <c r="L1200" s="45">
        <f t="shared" si="96"/>
        <v>46290</v>
      </c>
      <c r="M1200" s="46">
        <f t="shared" si="97"/>
        <v>46290</v>
      </c>
      <c r="Q1200" s="43">
        <f t="shared" si="98"/>
        <v>0</v>
      </c>
      <c r="R1200" s="43">
        <f t="shared" ca="1" si="99"/>
        <v>0</v>
      </c>
      <c r="S1200" s="22"/>
      <c r="T1200" s="25">
        <v>46200</v>
      </c>
    </row>
    <row r="1201" spans="1:172" x14ac:dyDescent="0.3">
      <c r="A1201" s="13">
        <v>1198</v>
      </c>
      <c r="B1201" s="1" t="s">
        <v>707</v>
      </c>
      <c r="C1201" s="39">
        <f t="shared" ca="1" si="95"/>
        <v>0</v>
      </c>
      <c r="D1201" t="s">
        <v>103</v>
      </c>
      <c r="E1201" t="s">
        <v>188</v>
      </c>
      <c r="F1201" s="7" t="s">
        <v>78</v>
      </c>
      <c r="G1201" s="6" t="s">
        <v>681</v>
      </c>
      <c r="H1201" s="2" t="s">
        <v>681</v>
      </c>
      <c r="I1201" s="1">
        <v>90</v>
      </c>
      <c r="J1201" s="1">
        <v>15</v>
      </c>
      <c r="L1201" s="45">
        <f t="shared" si="96"/>
        <v>46291</v>
      </c>
      <c r="M1201" s="46">
        <f t="shared" si="97"/>
        <v>46291</v>
      </c>
      <c r="Q1201" s="43">
        <f t="shared" si="98"/>
        <v>0</v>
      </c>
      <c r="R1201" s="43">
        <f t="shared" ca="1" si="99"/>
        <v>0</v>
      </c>
      <c r="S1201" s="22"/>
      <c r="T1201" s="25">
        <v>46201</v>
      </c>
    </row>
    <row r="1202" spans="1:172" x14ac:dyDescent="0.3">
      <c r="A1202" s="13">
        <v>1199</v>
      </c>
      <c r="B1202" s="1" t="s">
        <v>707</v>
      </c>
      <c r="C1202" s="39">
        <f t="shared" ca="1" si="95"/>
        <v>0</v>
      </c>
      <c r="D1202" t="s">
        <v>104</v>
      </c>
      <c r="E1202" t="s">
        <v>24</v>
      </c>
      <c r="F1202" s="7" t="s">
        <v>78</v>
      </c>
      <c r="G1202" s="6" t="s">
        <v>681</v>
      </c>
      <c r="H1202" s="2" t="s">
        <v>681</v>
      </c>
      <c r="I1202" s="1">
        <v>30</v>
      </c>
      <c r="J1202" s="1">
        <v>15</v>
      </c>
      <c r="L1202" s="45">
        <f t="shared" si="96"/>
        <v>46232</v>
      </c>
      <c r="M1202" s="46">
        <f t="shared" si="97"/>
        <v>46232</v>
      </c>
      <c r="Q1202" s="43">
        <f t="shared" si="98"/>
        <v>0</v>
      </c>
      <c r="R1202" s="43">
        <f t="shared" ca="1" si="99"/>
        <v>0</v>
      </c>
      <c r="S1202" s="22"/>
      <c r="T1202" s="25">
        <v>46202</v>
      </c>
    </row>
    <row r="1203" spans="1:172" x14ac:dyDescent="0.3">
      <c r="A1203" s="13">
        <v>1200</v>
      </c>
      <c r="B1203" s="1" t="s">
        <v>707</v>
      </c>
      <c r="C1203" s="39">
        <f t="shared" ca="1" si="95"/>
        <v>0</v>
      </c>
      <c r="D1203" t="s">
        <v>104</v>
      </c>
      <c r="E1203" t="s">
        <v>213</v>
      </c>
      <c r="F1203" s="7" t="s">
        <v>78</v>
      </c>
      <c r="G1203" s="6" t="s">
        <v>681</v>
      </c>
      <c r="H1203" s="2" t="s">
        <v>681</v>
      </c>
      <c r="I1203" s="1">
        <v>30</v>
      </c>
      <c r="J1203" s="1">
        <v>15</v>
      </c>
      <c r="L1203" s="45">
        <f t="shared" si="96"/>
        <v>46233</v>
      </c>
      <c r="M1203" s="46">
        <f t="shared" si="97"/>
        <v>46233</v>
      </c>
      <c r="Q1203" s="43">
        <f t="shared" si="98"/>
        <v>0</v>
      </c>
      <c r="R1203" s="43">
        <f t="shared" ca="1" si="99"/>
        <v>0</v>
      </c>
      <c r="S1203" s="22"/>
      <c r="T1203" s="25">
        <v>46203</v>
      </c>
    </row>
    <row r="1204" spans="1:172" x14ac:dyDescent="0.3">
      <c r="A1204" s="13">
        <v>1201</v>
      </c>
      <c r="B1204" s="1" t="s">
        <v>707</v>
      </c>
      <c r="C1204" s="39">
        <f t="shared" ca="1" si="95"/>
        <v>0</v>
      </c>
      <c r="D1204" t="s">
        <v>104</v>
      </c>
      <c r="E1204" t="s">
        <v>675</v>
      </c>
      <c r="F1204" s="7" t="s">
        <v>78</v>
      </c>
      <c r="G1204" s="6" t="s">
        <v>681</v>
      </c>
      <c r="H1204" s="2" t="s">
        <v>681</v>
      </c>
      <c r="I1204" s="1">
        <v>30</v>
      </c>
      <c r="J1204" s="1">
        <v>15</v>
      </c>
      <c r="L1204" s="45">
        <f t="shared" si="96"/>
        <v>46234</v>
      </c>
      <c r="M1204" s="46">
        <f t="shared" si="97"/>
        <v>46234</v>
      </c>
      <c r="Q1204" s="43">
        <f t="shared" si="98"/>
        <v>0</v>
      </c>
      <c r="R1204" s="43">
        <f t="shared" ca="1" si="99"/>
        <v>0</v>
      </c>
      <c r="S1204" s="22"/>
      <c r="T1204" s="25">
        <v>46204</v>
      </c>
    </row>
    <row r="1205" spans="1:172" s="33" customFormat="1" x14ac:dyDescent="0.3">
      <c r="A1205" s="13">
        <v>1202</v>
      </c>
      <c r="B1205" s="32" t="s">
        <v>684</v>
      </c>
      <c r="C1205" s="39">
        <f t="shared" ca="1" si="95"/>
        <v>0</v>
      </c>
      <c r="D1205" s="33" t="s">
        <v>698</v>
      </c>
      <c r="E1205" s="33" t="s">
        <v>698</v>
      </c>
      <c r="F1205" s="7" t="s">
        <v>78</v>
      </c>
      <c r="G1205" s="6" t="s">
        <v>681</v>
      </c>
      <c r="H1205" s="2" t="s">
        <v>681</v>
      </c>
      <c r="I1205" s="1">
        <v>30</v>
      </c>
      <c r="J1205" s="1">
        <v>15</v>
      </c>
      <c r="K1205" s="20"/>
      <c r="L1205" s="45">
        <f t="shared" ref="L1205:L1211" si="100">IF(N1205="",M1205,N1205)</f>
        <v>46235</v>
      </c>
      <c r="M1205" s="46">
        <f t="shared" ref="M1205:M1211" si="101">T1205+I1205</f>
        <v>46235</v>
      </c>
      <c r="N1205" s="50"/>
      <c r="O1205" s="38"/>
      <c r="P1205" s="32"/>
      <c r="Q1205" s="43">
        <f t="shared" ref="Q1205:Q1211" si="102">IF(O1205&lt;&gt;0,1,0)</f>
        <v>0</v>
      </c>
      <c r="R1205" s="43">
        <f t="shared" ref="R1205:R1211" ca="1" si="103">IF(AND(L1205&lt;($A$2+7), L1205&gt;($A$2+6)),1,0)</f>
        <v>0</v>
      </c>
      <c r="S1205" s="22"/>
      <c r="T1205" s="25">
        <v>46205</v>
      </c>
      <c r="U1205" s="31"/>
      <c r="V1205" s="17"/>
      <c r="W1205" s="17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34"/>
      <c r="DV1205" s="34"/>
      <c r="DW1205" s="34"/>
      <c r="DX1205" s="34"/>
      <c r="DY1205" s="34"/>
      <c r="DZ1205" s="34"/>
      <c r="EA1205" s="34"/>
      <c r="EB1205" s="34"/>
      <c r="EC1205" s="34"/>
      <c r="ED1205" s="34"/>
      <c r="EE1205" s="34"/>
      <c r="EF1205" s="34"/>
      <c r="EG1205" s="34"/>
      <c r="EH1205" s="34"/>
      <c r="EI1205" s="34"/>
      <c r="EJ1205" s="34"/>
      <c r="EK1205" s="34"/>
      <c r="EL1205" s="34"/>
      <c r="EM1205" s="34"/>
      <c r="EN1205" s="34"/>
      <c r="EO1205" s="34"/>
      <c r="EP1205" s="34"/>
      <c r="EQ1205" s="34"/>
      <c r="ER1205" s="34"/>
      <c r="ES1205" s="34"/>
      <c r="ET1205" s="34"/>
      <c r="EU1205" s="34"/>
      <c r="EV1205" s="34"/>
      <c r="EW1205" s="34"/>
      <c r="EX1205" s="34"/>
      <c r="EY1205" s="34"/>
      <c r="EZ1205" s="34"/>
      <c r="FA1205" s="34"/>
      <c r="FB1205" s="34"/>
      <c r="FC1205" s="34"/>
      <c r="FD1205" s="34"/>
      <c r="FE1205" s="34"/>
      <c r="FF1205" s="34"/>
      <c r="FG1205" s="34"/>
      <c r="FH1205" s="34"/>
      <c r="FI1205" s="34"/>
      <c r="FJ1205" s="34"/>
      <c r="FK1205" s="34"/>
      <c r="FL1205" s="34"/>
      <c r="FM1205" s="34"/>
      <c r="FN1205" s="34"/>
      <c r="FO1205" s="34"/>
      <c r="FP1205" s="34"/>
    </row>
    <row r="1206" spans="1:172" s="33" customFormat="1" x14ac:dyDescent="0.3">
      <c r="A1206" s="13">
        <v>1203</v>
      </c>
      <c r="B1206" s="32" t="s">
        <v>685</v>
      </c>
      <c r="C1206" s="39">
        <f t="shared" ca="1" si="95"/>
        <v>0</v>
      </c>
      <c r="D1206" s="33" t="s">
        <v>698</v>
      </c>
      <c r="E1206" s="33" t="s">
        <v>698</v>
      </c>
      <c r="F1206" s="7" t="s">
        <v>78</v>
      </c>
      <c r="G1206" s="6" t="s">
        <v>681</v>
      </c>
      <c r="H1206" s="2" t="s">
        <v>681</v>
      </c>
      <c r="I1206" s="1">
        <v>30</v>
      </c>
      <c r="J1206" s="1">
        <v>15</v>
      </c>
      <c r="K1206" s="20"/>
      <c r="L1206" s="45">
        <f t="shared" si="100"/>
        <v>46236</v>
      </c>
      <c r="M1206" s="46">
        <f t="shared" si="101"/>
        <v>46236</v>
      </c>
      <c r="N1206" s="50"/>
      <c r="O1206" s="38"/>
      <c r="P1206" s="32"/>
      <c r="Q1206" s="43">
        <f t="shared" si="102"/>
        <v>0</v>
      </c>
      <c r="R1206" s="43">
        <f t="shared" ca="1" si="103"/>
        <v>0</v>
      </c>
      <c r="S1206" s="22"/>
      <c r="T1206" s="25">
        <v>46206</v>
      </c>
      <c r="U1206" s="31"/>
      <c r="V1206" s="17"/>
      <c r="W1206" s="17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34"/>
      <c r="DV1206" s="34"/>
      <c r="DW1206" s="34"/>
      <c r="DX1206" s="34"/>
      <c r="DY1206" s="34"/>
      <c r="DZ1206" s="34"/>
      <c r="EA1206" s="34"/>
      <c r="EB1206" s="34"/>
      <c r="EC1206" s="34"/>
      <c r="ED1206" s="34"/>
      <c r="EE1206" s="34"/>
      <c r="EF1206" s="34"/>
      <c r="EG1206" s="34"/>
      <c r="EH1206" s="34"/>
      <c r="EI1206" s="34"/>
      <c r="EJ1206" s="34"/>
      <c r="EK1206" s="34"/>
      <c r="EL1206" s="34"/>
      <c r="EM1206" s="34"/>
      <c r="EN1206" s="34"/>
      <c r="EO1206" s="34"/>
      <c r="EP1206" s="34"/>
      <c r="EQ1206" s="34"/>
      <c r="ER1206" s="34"/>
      <c r="ES1206" s="34"/>
      <c r="ET1206" s="34"/>
      <c r="EU1206" s="34"/>
      <c r="EV1206" s="34"/>
      <c r="EW1206" s="34"/>
      <c r="EX1206" s="34"/>
      <c r="EY1206" s="34"/>
      <c r="EZ1206" s="34"/>
      <c r="FA1206" s="34"/>
      <c r="FB1206" s="34"/>
      <c r="FC1206" s="34"/>
      <c r="FD1206" s="34"/>
      <c r="FE1206" s="34"/>
      <c r="FF1206" s="34"/>
      <c r="FG1206" s="34"/>
      <c r="FH1206" s="34"/>
      <c r="FI1206" s="34"/>
      <c r="FJ1206" s="34"/>
      <c r="FK1206" s="34"/>
      <c r="FL1206" s="34"/>
      <c r="FM1206" s="34"/>
      <c r="FN1206" s="34"/>
      <c r="FO1206" s="34"/>
      <c r="FP1206" s="34"/>
    </row>
    <row r="1207" spans="1:172" s="33" customFormat="1" x14ac:dyDescent="0.3">
      <c r="A1207" s="13">
        <v>1204</v>
      </c>
      <c r="B1207" s="32" t="s">
        <v>696</v>
      </c>
      <c r="C1207" s="39">
        <f t="shared" ca="1" si="95"/>
        <v>0</v>
      </c>
      <c r="D1207" s="33" t="s">
        <v>698</v>
      </c>
      <c r="E1207" s="33" t="s">
        <v>698</v>
      </c>
      <c r="F1207" s="7" t="s">
        <v>78</v>
      </c>
      <c r="G1207" s="6" t="s">
        <v>681</v>
      </c>
      <c r="H1207" s="2" t="s">
        <v>681</v>
      </c>
      <c r="I1207" s="1">
        <v>30</v>
      </c>
      <c r="J1207" s="1">
        <v>15</v>
      </c>
      <c r="K1207" s="20"/>
      <c r="L1207" s="45">
        <f t="shared" si="100"/>
        <v>46237</v>
      </c>
      <c r="M1207" s="46">
        <f t="shared" si="101"/>
        <v>46237</v>
      </c>
      <c r="N1207" s="50"/>
      <c r="O1207" s="38"/>
      <c r="P1207" s="32"/>
      <c r="Q1207" s="43">
        <f t="shared" si="102"/>
        <v>0</v>
      </c>
      <c r="R1207" s="43">
        <f t="shared" ca="1" si="103"/>
        <v>0</v>
      </c>
      <c r="S1207" s="22"/>
      <c r="T1207" s="25">
        <v>46207</v>
      </c>
      <c r="U1207" s="31"/>
      <c r="V1207" s="17"/>
      <c r="W1207" s="17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34"/>
      <c r="DV1207" s="34"/>
      <c r="DW1207" s="34"/>
      <c r="DX1207" s="34"/>
      <c r="DY1207" s="34"/>
      <c r="DZ1207" s="34"/>
      <c r="EA1207" s="34"/>
      <c r="EB1207" s="34"/>
      <c r="EC1207" s="34"/>
      <c r="ED1207" s="34"/>
      <c r="EE1207" s="34"/>
      <c r="EF1207" s="34"/>
      <c r="EG1207" s="34"/>
      <c r="EH1207" s="34"/>
      <c r="EI1207" s="34"/>
      <c r="EJ1207" s="34"/>
      <c r="EK1207" s="34"/>
      <c r="EL1207" s="34"/>
      <c r="EM1207" s="34"/>
      <c r="EN1207" s="34"/>
      <c r="EO1207" s="34"/>
      <c r="EP1207" s="34"/>
      <c r="EQ1207" s="34"/>
      <c r="ER1207" s="34"/>
      <c r="ES1207" s="34"/>
      <c r="ET1207" s="34"/>
      <c r="EU1207" s="34"/>
      <c r="EV1207" s="34"/>
      <c r="EW1207" s="34"/>
      <c r="EX1207" s="34"/>
      <c r="EY1207" s="34"/>
      <c r="EZ1207" s="34"/>
      <c r="FA1207" s="34"/>
      <c r="FB1207" s="34"/>
      <c r="FC1207" s="34"/>
      <c r="FD1207" s="34"/>
      <c r="FE1207" s="34"/>
      <c r="FF1207" s="34"/>
      <c r="FG1207" s="34"/>
      <c r="FH1207" s="34"/>
      <c r="FI1207" s="34"/>
      <c r="FJ1207" s="34"/>
      <c r="FK1207" s="34"/>
      <c r="FL1207" s="34"/>
      <c r="FM1207" s="34"/>
      <c r="FN1207" s="34"/>
      <c r="FO1207" s="34"/>
      <c r="FP1207" s="34"/>
    </row>
    <row r="1208" spans="1:172" s="33" customFormat="1" x14ac:dyDescent="0.3">
      <c r="A1208" s="13">
        <v>1205</v>
      </c>
      <c r="B1208" s="32" t="s">
        <v>711</v>
      </c>
      <c r="C1208" s="39">
        <f t="shared" ca="1" si="95"/>
        <v>0</v>
      </c>
      <c r="D1208" s="33" t="s">
        <v>698</v>
      </c>
      <c r="E1208" s="33" t="s">
        <v>698</v>
      </c>
      <c r="F1208" s="7" t="s">
        <v>78</v>
      </c>
      <c r="G1208" s="6" t="s">
        <v>681</v>
      </c>
      <c r="H1208" s="2" t="s">
        <v>681</v>
      </c>
      <c r="I1208" s="1">
        <v>30</v>
      </c>
      <c r="J1208" s="1">
        <v>15</v>
      </c>
      <c r="K1208" s="20"/>
      <c r="L1208" s="45">
        <f t="shared" si="100"/>
        <v>46238</v>
      </c>
      <c r="M1208" s="46">
        <f t="shared" si="101"/>
        <v>46238</v>
      </c>
      <c r="N1208" s="50"/>
      <c r="O1208" s="38"/>
      <c r="P1208" s="32"/>
      <c r="Q1208" s="43">
        <f t="shared" si="102"/>
        <v>0</v>
      </c>
      <c r="R1208" s="43">
        <f t="shared" ca="1" si="103"/>
        <v>0</v>
      </c>
      <c r="S1208" s="22"/>
      <c r="T1208" s="25">
        <v>46208</v>
      </c>
      <c r="U1208" s="31"/>
      <c r="V1208" s="17"/>
      <c r="W1208" s="17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34"/>
      <c r="DV1208" s="34"/>
      <c r="DW1208" s="34"/>
      <c r="DX1208" s="34"/>
      <c r="DY1208" s="34"/>
      <c r="DZ1208" s="34"/>
      <c r="EA1208" s="34"/>
      <c r="EB1208" s="34"/>
      <c r="EC1208" s="34"/>
      <c r="ED1208" s="34"/>
      <c r="EE1208" s="34"/>
      <c r="EF1208" s="34"/>
      <c r="EG1208" s="34"/>
      <c r="EH1208" s="34"/>
      <c r="EI1208" s="34"/>
      <c r="EJ1208" s="34"/>
      <c r="EK1208" s="34"/>
      <c r="EL1208" s="34"/>
      <c r="EM1208" s="34"/>
      <c r="EN1208" s="34"/>
      <c r="EO1208" s="34"/>
      <c r="EP1208" s="34"/>
      <c r="EQ1208" s="34"/>
      <c r="ER1208" s="34"/>
      <c r="ES1208" s="34"/>
      <c r="ET1208" s="34"/>
      <c r="EU1208" s="34"/>
      <c r="EV1208" s="34"/>
      <c r="EW1208" s="34"/>
      <c r="EX1208" s="34"/>
      <c r="EY1208" s="34"/>
      <c r="EZ1208" s="34"/>
      <c r="FA1208" s="34"/>
      <c r="FB1208" s="34"/>
      <c r="FC1208" s="34"/>
      <c r="FD1208" s="34"/>
      <c r="FE1208" s="34"/>
      <c r="FF1208" s="34"/>
      <c r="FG1208" s="34"/>
      <c r="FH1208" s="34"/>
      <c r="FI1208" s="34"/>
      <c r="FJ1208" s="34"/>
      <c r="FK1208" s="34"/>
      <c r="FL1208" s="34"/>
      <c r="FM1208" s="34"/>
      <c r="FN1208" s="34"/>
      <c r="FO1208" s="34"/>
      <c r="FP1208" s="34"/>
    </row>
    <row r="1209" spans="1:172" s="33" customFormat="1" x14ac:dyDescent="0.3">
      <c r="A1209" s="13">
        <v>1206</v>
      </c>
      <c r="B1209" s="32" t="s">
        <v>712</v>
      </c>
      <c r="C1209" s="39">
        <f t="shared" ca="1" si="95"/>
        <v>0</v>
      </c>
      <c r="D1209" s="33" t="s">
        <v>698</v>
      </c>
      <c r="E1209" s="33" t="s">
        <v>698</v>
      </c>
      <c r="F1209" s="7" t="s">
        <v>78</v>
      </c>
      <c r="G1209" s="6" t="s">
        <v>681</v>
      </c>
      <c r="H1209" s="2" t="s">
        <v>681</v>
      </c>
      <c r="I1209" s="1">
        <v>30</v>
      </c>
      <c r="J1209" s="1">
        <v>15</v>
      </c>
      <c r="K1209" s="20"/>
      <c r="L1209" s="45">
        <f t="shared" si="100"/>
        <v>46239</v>
      </c>
      <c r="M1209" s="46">
        <f t="shared" si="101"/>
        <v>46239</v>
      </c>
      <c r="N1209" s="50"/>
      <c r="O1209" s="38"/>
      <c r="P1209" s="32"/>
      <c r="Q1209" s="43">
        <f t="shared" si="102"/>
        <v>0</v>
      </c>
      <c r="R1209" s="43">
        <f t="shared" ca="1" si="103"/>
        <v>0</v>
      </c>
      <c r="S1209" s="22"/>
      <c r="T1209" s="25">
        <v>46209</v>
      </c>
      <c r="U1209" s="31"/>
      <c r="V1209" s="17"/>
      <c r="W1209" s="17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34"/>
      <c r="DV1209" s="34"/>
      <c r="DW1209" s="34"/>
      <c r="DX1209" s="34"/>
      <c r="DY1209" s="34"/>
      <c r="DZ1209" s="34"/>
      <c r="EA1209" s="34"/>
      <c r="EB1209" s="34"/>
      <c r="EC1209" s="34"/>
      <c r="ED1209" s="34"/>
      <c r="EE1209" s="34"/>
      <c r="EF1209" s="34"/>
      <c r="EG1209" s="34"/>
      <c r="EH1209" s="34"/>
      <c r="EI1209" s="34"/>
      <c r="EJ1209" s="34"/>
      <c r="EK1209" s="34"/>
      <c r="EL1209" s="34"/>
      <c r="EM1209" s="34"/>
      <c r="EN1209" s="34"/>
      <c r="EO1209" s="34"/>
      <c r="EP1209" s="34"/>
      <c r="EQ1209" s="34"/>
      <c r="ER1209" s="34"/>
      <c r="ES1209" s="34"/>
      <c r="ET1209" s="34"/>
      <c r="EU1209" s="34"/>
      <c r="EV1209" s="34"/>
      <c r="EW1209" s="34"/>
      <c r="EX1209" s="34"/>
      <c r="EY1209" s="34"/>
      <c r="EZ1209" s="34"/>
      <c r="FA1209" s="34"/>
      <c r="FB1209" s="34"/>
      <c r="FC1209" s="34"/>
      <c r="FD1209" s="34"/>
      <c r="FE1209" s="34"/>
      <c r="FF1209" s="34"/>
      <c r="FG1209" s="34"/>
      <c r="FH1209" s="34"/>
      <c r="FI1209" s="34"/>
      <c r="FJ1209" s="34"/>
      <c r="FK1209" s="34"/>
      <c r="FL1209" s="34"/>
      <c r="FM1209" s="34"/>
      <c r="FN1209" s="34"/>
      <c r="FO1209" s="34"/>
      <c r="FP1209" s="34"/>
    </row>
    <row r="1210" spans="1:172" s="33" customFormat="1" x14ac:dyDescent="0.3">
      <c r="A1210" s="13">
        <v>1207</v>
      </c>
      <c r="B1210" s="32" t="s">
        <v>697</v>
      </c>
      <c r="C1210" s="39">
        <f t="shared" ca="1" si="95"/>
        <v>0</v>
      </c>
      <c r="D1210" s="33" t="s">
        <v>698</v>
      </c>
      <c r="E1210" s="33" t="s">
        <v>698</v>
      </c>
      <c r="F1210" s="7" t="s">
        <v>78</v>
      </c>
      <c r="G1210" s="6" t="s">
        <v>681</v>
      </c>
      <c r="H1210" s="2" t="s">
        <v>681</v>
      </c>
      <c r="I1210" s="1">
        <v>30</v>
      </c>
      <c r="J1210" s="1">
        <v>15</v>
      </c>
      <c r="K1210" s="20"/>
      <c r="L1210" s="45">
        <f t="shared" si="100"/>
        <v>46240</v>
      </c>
      <c r="M1210" s="46">
        <f t="shared" si="101"/>
        <v>46240</v>
      </c>
      <c r="N1210" s="50"/>
      <c r="O1210" s="38"/>
      <c r="P1210" s="32"/>
      <c r="Q1210" s="43">
        <f t="shared" si="102"/>
        <v>0</v>
      </c>
      <c r="R1210" s="43">
        <f t="shared" ca="1" si="103"/>
        <v>0</v>
      </c>
      <c r="S1210" s="22"/>
      <c r="T1210" s="25">
        <v>46210</v>
      </c>
      <c r="U1210" s="31"/>
      <c r="V1210" s="17"/>
      <c r="W1210" s="17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34"/>
      <c r="DV1210" s="34"/>
      <c r="DW1210" s="34"/>
      <c r="DX1210" s="34"/>
      <c r="DY1210" s="34"/>
      <c r="DZ1210" s="34"/>
      <c r="EA1210" s="34"/>
      <c r="EB1210" s="34"/>
      <c r="EC1210" s="34"/>
      <c r="ED1210" s="34"/>
      <c r="EE1210" s="34"/>
      <c r="EF1210" s="34"/>
      <c r="EG1210" s="34"/>
      <c r="EH1210" s="34"/>
      <c r="EI1210" s="34"/>
      <c r="EJ1210" s="34"/>
      <c r="EK1210" s="34"/>
      <c r="EL1210" s="34"/>
      <c r="EM1210" s="34"/>
      <c r="EN1210" s="34"/>
      <c r="EO1210" s="34"/>
      <c r="EP1210" s="34"/>
      <c r="EQ1210" s="34"/>
      <c r="ER1210" s="34"/>
      <c r="ES1210" s="34"/>
      <c r="ET1210" s="34"/>
      <c r="EU1210" s="34"/>
      <c r="EV1210" s="34"/>
      <c r="EW1210" s="34"/>
      <c r="EX1210" s="34"/>
      <c r="EY1210" s="34"/>
      <c r="EZ1210" s="34"/>
      <c r="FA1210" s="34"/>
      <c r="FB1210" s="34"/>
      <c r="FC1210" s="34"/>
      <c r="FD1210" s="34"/>
      <c r="FE1210" s="34"/>
      <c r="FF1210" s="34"/>
      <c r="FG1210" s="34"/>
      <c r="FH1210" s="34"/>
      <c r="FI1210" s="34"/>
      <c r="FJ1210" s="34"/>
      <c r="FK1210" s="34"/>
      <c r="FL1210" s="34"/>
      <c r="FM1210" s="34"/>
      <c r="FN1210" s="34"/>
      <c r="FO1210" s="34"/>
      <c r="FP1210" s="34"/>
    </row>
    <row r="1211" spans="1:172" s="33" customFormat="1" x14ac:dyDescent="0.3">
      <c r="A1211" s="13">
        <v>1208</v>
      </c>
      <c r="B1211" s="32" t="s">
        <v>713</v>
      </c>
      <c r="C1211" s="39">
        <f t="shared" ca="1" si="95"/>
        <v>0</v>
      </c>
      <c r="D1211" s="33" t="s">
        <v>698</v>
      </c>
      <c r="E1211" s="33" t="s">
        <v>698</v>
      </c>
      <c r="F1211" s="7" t="s">
        <v>78</v>
      </c>
      <c r="G1211" s="6" t="s">
        <v>681</v>
      </c>
      <c r="H1211" s="2" t="s">
        <v>681</v>
      </c>
      <c r="I1211" s="1">
        <v>30</v>
      </c>
      <c r="J1211" s="1">
        <v>15</v>
      </c>
      <c r="K1211" s="20"/>
      <c r="L1211" s="45">
        <f t="shared" si="100"/>
        <v>46242</v>
      </c>
      <c r="M1211" s="46">
        <f t="shared" si="101"/>
        <v>46242</v>
      </c>
      <c r="N1211" s="50"/>
      <c r="O1211" s="38"/>
      <c r="P1211" s="32"/>
      <c r="Q1211" s="43">
        <f t="shared" si="102"/>
        <v>0</v>
      </c>
      <c r="R1211" s="43">
        <f t="shared" ca="1" si="103"/>
        <v>0</v>
      </c>
      <c r="S1211" s="22"/>
      <c r="T1211" s="25">
        <v>46212</v>
      </c>
      <c r="U1211" s="31"/>
      <c r="V1211" s="17"/>
      <c r="W1211" s="17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34"/>
      <c r="DV1211" s="34"/>
      <c r="DW1211" s="34"/>
      <c r="DX1211" s="34"/>
      <c r="DY1211" s="34"/>
      <c r="DZ1211" s="34"/>
      <c r="EA1211" s="34"/>
      <c r="EB1211" s="34"/>
      <c r="EC1211" s="34"/>
      <c r="ED1211" s="34"/>
      <c r="EE1211" s="34"/>
      <c r="EF1211" s="34"/>
      <c r="EG1211" s="34"/>
      <c r="EH1211" s="34"/>
      <c r="EI1211" s="34"/>
      <c r="EJ1211" s="34"/>
      <c r="EK1211" s="34"/>
      <c r="EL1211" s="34"/>
      <c r="EM1211" s="34"/>
      <c r="EN1211" s="34"/>
      <c r="EO1211" s="34"/>
      <c r="EP1211" s="34"/>
      <c r="EQ1211" s="34"/>
      <c r="ER1211" s="34"/>
      <c r="ES1211" s="34"/>
      <c r="ET1211" s="34"/>
      <c r="EU1211" s="34"/>
      <c r="EV1211" s="34"/>
      <c r="EW1211" s="34"/>
      <c r="EX1211" s="34"/>
      <c r="EY1211" s="34"/>
      <c r="EZ1211" s="34"/>
      <c r="FA1211" s="34"/>
      <c r="FB1211" s="34"/>
      <c r="FC1211" s="34"/>
      <c r="FD1211" s="34"/>
      <c r="FE1211" s="34"/>
      <c r="FF1211" s="34"/>
      <c r="FG1211" s="34"/>
      <c r="FH1211" s="34"/>
      <c r="FI1211" s="34"/>
      <c r="FJ1211" s="34"/>
      <c r="FK1211" s="34"/>
      <c r="FL1211" s="34"/>
      <c r="FM1211" s="34"/>
      <c r="FN1211" s="34"/>
      <c r="FO1211" s="34"/>
      <c r="FP1211" s="34"/>
    </row>
    <row r="1212" spans="1:172" x14ac:dyDescent="0.3">
      <c r="A1212" s="13">
        <v>1209</v>
      </c>
      <c r="B1212" s="1" t="s">
        <v>715</v>
      </c>
      <c r="C1212" s="39">
        <f t="shared" ref="C1212:C1220" ca="1" si="104">IF(L1212&lt;=$A$2,1,0)</f>
        <v>0</v>
      </c>
      <c r="D1212" s="33" t="s">
        <v>698</v>
      </c>
      <c r="E1212" s="33" t="s">
        <v>698</v>
      </c>
      <c r="F1212" s="7" t="s">
        <v>78</v>
      </c>
      <c r="G1212" s="6" t="s">
        <v>681</v>
      </c>
      <c r="H1212" s="2" t="s">
        <v>681</v>
      </c>
      <c r="I1212" s="1">
        <v>30</v>
      </c>
      <c r="J1212" s="1">
        <v>15</v>
      </c>
      <c r="L1212" s="45">
        <f t="shared" ref="L1212:L1220" si="105">IF(N1212="",M1212,N1212)</f>
        <v>46243</v>
      </c>
      <c r="M1212" s="46">
        <f t="shared" ref="M1212:M1220" si="106">T1212+I1212</f>
        <v>46243</v>
      </c>
      <c r="O1212" s="38"/>
      <c r="P1212" s="32"/>
      <c r="Q1212" s="43">
        <f t="shared" ref="Q1212:Q1220" si="107">IF(O1212&lt;&gt;0,1,0)</f>
        <v>0</v>
      </c>
      <c r="R1212" s="43">
        <f t="shared" ref="R1212:R1220" ca="1" si="108">IF(AND(L1212&lt;($A$2+7), L1212&gt;($A$2+6)),1,0)</f>
        <v>0</v>
      </c>
      <c r="S1212" s="22"/>
      <c r="T1212" s="25">
        <v>46213</v>
      </c>
    </row>
    <row r="1213" spans="1:172" x14ac:dyDescent="0.3">
      <c r="A1213" s="13">
        <v>1210</v>
      </c>
      <c r="B1213" s="1" t="s">
        <v>716</v>
      </c>
      <c r="C1213" s="39">
        <f t="shared" ca="1" si="104"/>
        <v>0</v>
      </c>
      <c r="D1213" s="33" t="s">
        <v>698</v>
      </c>
      <c r="E1213" s="33" t="s">
        <v>698</v>
      </c>
      <c r="F1213" s="7" t="s">
        <v>78</v>
      </c>
      <c r="G1213" s="6" t="s">
        <v>681</v>
      </c>
      <c r="H1213" s="2" t="s">
        <v>681</v>
      </c>
      <c r="I1213" s="1">
        <v>30</v>
      </c>
      <c r="J1213" s="1">
        <v>15</v>
      </c>
      <c r="L1213" s="45">
        <f t="shared" si="105"/>
        <v>46244</v>
      </c>
      <c r="M1213" s="46">
        <f t="shared" si="106"/>
        <v>46244</v>
      </c>
      <c r="O1213" s="38"/>
      <c r="P1213" s="32"/>
      <c r="Q1213" s="43">
        <f t="shared" si="107"/>
        <v>0</v>
      </c>
      <c r="R1213" s="43">
        <f t="shared" ca="1" si="108"/>
        <v>0</v>
      </c>
      <c r="S1213" s="22"/>
      <c r="T1213" s="25">
        <v>46214</v>
      </c>
    </row>
    <row r="1214" spans="1:172" x14ac:dyDescent="0.3">
      <c r="A1214" s="13">
        <v>1211</v>
      </c>
      <c r="B1214" s="1" t="s">
        <v>717</v>
      </c>
      <c r="C1214" s="39">
        <f t="shared" ca="1" si="104"/>
        <v>0</v>
      </c>
      <c r="D1214" s="33" t="s">
        <v>698</v>
      </c>
      <c r="E1214" s="33" t="s">
        <v>698</v>
      </c>
      <c r="F1214" s="7" t="s">
        <v>78</v>
      </c>
      <c r="G1214" s="6" t="s">
        <v>681</v>
      </c>
      <c r="H1214" s="2" t="s">
        <v>681</v>
      </c>
      <c r="I1214" s="1">
        <v>30</v>
      </c>
      <c r="J1214" s="1">
        <v>15</v>
      </c>
      <c r="L1214" s="45">
        <f t="shared" si="105"/>
        <v>46245</v>
      </c>
      <c r="M1214" s="46">
        <f t="shared" si="106"/>
        <v>46245</v>
      </c>
      <c r="O1214" s="38"/>
      <c r="P1214" s="32"/>
      <c r="Q1214" s="43">
        <f t="shared" si="107"/>
        <v>0</v>
      </c>
      <c r="R1214" s="43">
        <f t="shared" ca="1" si="108"/>
        <v>0</v>
      </c>
      <c r="S1214" s="22"/>
      <c r="T1214" s="25">
        <v>46215</v>
      </c>
    </row>
    <row r="1215" spans="1:172" x14ac:dyDescent="0.3">
      <c r="A1215" s="13">
        <v>1212</v>
      </c>
      <c r="B1215" s="1" t="s">
        <v>718</v>
      </c>
      <c r="C1215" s="39">
        <f t="shared" ca="1" si="104"/>
        <v>0</v>
      </c>
      <c r="D1215" s="33" t="s">
        <v>698</v>
      </c>
      <c r="E1215" s="33" t="s">
        <v>698</v>
      </c>
      <c r="F1215" s="7" t="s">
        <v>78</v>
      </c>
      <c r="G1215" s="6" t="s">
        <v>681</v>
      </c>
      <c r="H1215" s="2" t="s">
        <v>681</v>
      </c>
      <c r="I1215" s="1">
        <v>30</v>
      </c>
      <c r="J1215" s="1">
        <v>15</v>
      </c>
      <c r="L1215" s="45">
        <f t="shared" si="105"/>
        <v>46246</v>
      </c>
      <c r="M1215" s="46">
        <f t="shared" si="106"/>
        <v>46246</v>
      </c>
      <c r="O1215" s="38"/>
      <c r="P1215" s="32"/>
      <c r="Q1215" s="43">
        <f t="shared" si="107"/>
        <v>0</v>
      </c>
      <c r="R1215" s="43">
        <f t="shared" ca="1" si="108"/>
        <v>0</v>
      </c>
      <c r="S1215" s="22"/>
      <c r="T1215" s="25">
        <v>46216</v>
      </c>
    </row>
    <row r="1216" spans="1:172" x14ac:dyDescent="0.3">
      <c r="A1216" s="13">
        <v>1213</v>
      </c>
      <c r="B1216" s="1" t="s">
        <v>719</v>
      </c>
      <c r="C1216" s="39">
        <f t="shared" ca="1" si="104"/>
        <v>0</v>
      </c>
      <c r="D1216" s="33" t="s">
        <v>698</v>
      </c>
      <c r="E1216" s="33" t="s">
        <v>698</v>
      </c>
      <c r="F1216" s="7" t="s">
        <v>78</v>
      </c>
      <c r="G1216" s="6" t="s">
        <v>681</v>
      </c>
      <c r="H1216" s="2" t="s">
        <v>681</v>
      </c>
      <c r="I1216" s="1">
        <v>30</v>
      </c>
      <c r="J1216" s="1">
        <v>15</v>
      </c>
      <c r="L1216" s="45">
        <f t="shared" si="105"/>
        <v>46247</v>
      </c>
      <c r="M1216" s="46">
        <f t="shared" si="106"/>
        <v>46247</v>
      </c>
      <c r="O1216" s="38"/>
      <c r="P1216" s="32"/>
      <c r="Q1216" s="43">
        <f t="shared" si="107"/>
        <v>0</v>
      </c>
      <c r="R1216" s="43">
        <f t="shared" ca="1" si="108"/>
        <v>0</v>
      </c>
      <c r="S1216" s="22"/>
      <c r="T1216" s="25">
        <v>46217</v>
      </c>
    </row>
    <row r="1217" spans="1:20" x14ac:dyDescent="0.3">
      <c r="A1217" s="13">
        <v>1214</v>
      </c>
      <c r="B1217" s="1" t="s">
        <v>720</v>
      </c>
      <c r="C1217" s="39">
        <f t="shared" ca="1" si="104"/>
        <v>0</v>
      </c>
      <c r="D1217" s="33" t="s">
        <v>698</v>
      </c>
      <c r="E1217" s="33" t="s">
        <v>698</v>
      </c>
      <c r="F1217" s="7" t="s">
        <v>78</v>
      </c>
      <c r="G1217" s="6" t="s">
        <v>681</v>
      </c>
      <c r="H1217" s="2" t="s">
        <v>681</v>
      </c>
      <c r="I1217" s="1">
        <v>30</v>
      </c>
      <c r="J1217" s="1">
        <v>15</v>
      </c>
      <c r="L1217" s="45">
        <f t="shared" si="105"/>
        <v>46248</v>
      </c>
      <c r="M1217" s="46">
        <f t="shared" si="106"/>
        <v>46248</v>
      </c>
      <c r="O1217" s="38"/>
      <c r="P1217" s="32"/>
      <c r="Q1217" s="43">
        <f t="shared" si="107"/>
        <v>0</v>
      </c>
      <c r="R1217" s="43">
        <f t="shared" ca="1" si="108"/>
        <v>0</v>
      </c>
      <c r="S1217" s="22"/>
      <c r="T1217" s="25">
        <v>46218</v>
      </c>
    </row>
    <row r="1218" spans="1:20" x14ac:dyDescent="0.3">
      <c r="A1218" s="13">
        <v>1215</v>
      </c>
      <c r="B1218" s="1" t="s">
        <v>721</v>
      </c>
      <c r="C1218" s="39">
        <f t="shared" ca="1" si="104"/>
        <v>0</v>
      </c>
      <c r="D1218" s="33" t="s">
        <v>698</v>
      </c>
      <c r="E1218" s="33" t="s">
        <v>698</v>
      </c>
      <c r="F1218" s="7" t="s">
        <v>78</v>
      </c>
      <c r="G1218" s="6" t="s">
        <v>681</v>
      </c>
      <c r="H1218" s="2" t="s">
        <v>681</v>
      </c>
      <c r="I1218" s="1">
        <v>30</v>
      </c>
      <c r="J1218" s="1">
        <v>15</v>
      </c>
      <c r="L1218" s="45">
        <f t="shared" si="105"/>
        <v>46249</v>
      </c>
      <c r="M1218" s="46">
        <f t="shared" si="106"/>
        <v>46249</v>
      </c>
      <c r="O1218" s="38"/>
      <c r="P1218" s="32"/>
      <c r="Q1218" s="43">
        <f t="shared" si="107"/>
        <v>0</v>
      </c>
      <c r="R1218" s="43">
        <f t="shared" ca="1" si="108"/>
        <v>0</v>
      </c>
      <c r="S1218" s="22"/>
      <c r="T1218" s="25">
        <v>46219</v>
      </c>
    </row>
    <row r="1219" spans="1:20" x14ac:dyDescent="0.3">
      <c r="A1219" s="13">
        <v>1216</v>
      </c>
      <c r="B1219" s="1" t="s">
        <v>722</v>
      </c>
      <c r="C1219" s="39">
        <f t="shared" ca="1" si="104"/>
        <v>0</v>
      </c>
      <c r="D1219" s="33" t="s">
        <v>698</v>
      </c>
      <c r="E1219" s="33" t="s">
        <v>698</v>
      </c>
      <c r="F1219" s="7" t="s">
        <v>78</v>
      </c>
      <c r="G1219" s="6" t="s">
        <v>681</v>
      </c>
      <c r="H1219" s="2" t="s">
        <v>681</v>
      </c>
      <c r="I1219" s="1">
        <v>30</v>
      </c>
      <c r="J1219" s="1">
        <v>15</v>
      </c>
      <c r="L1219" s="45">
        <f t="shared" si="105"/>
        <v>46250</v>
      </c>
      <c r="M1219" s="46">
        <f t="shared" si="106"/>
        <v>46250</v>
      </c>
      <c r="O1219" s="38"/>
      <c r="P1219" s="32"/>
      <c r="Q1219" s="43">
        <f t="shared" si="107"/>
        <v>0</v>
      </c>
      <c r="R1219" s="43">
        <f t="shared" ca="1" si="108"/>
        <v>0</v>
      </c>
      <c r="S1219" s="22"/>
      <c r="T1219" s="25">
        <v>46220</v>
      </c>
    </row>
    <row r="1220" spans="1:20" x14ac:dyDescent="0.3">
      <c r="A1220" s="13">
        <v>1217</v>
      </c>
      <c r="B1220" s="1" t="s">
        <v>723</v>
      </c>
      <c r="C1220" s="39">
        <f t="shared" ca="1" si="104"/>
        <v>0</v>
      </c>
      <c r="D1220" s="33" t="s">
        <v>698</v>
      </c>
      <c r="E1220" s="33" t="s">
        <v>698</v>
      </c>
      <c r="F1220" s="7" t="s">
        <v>78</v>
      </c>
      <c r="G1220" s="6" t="s">
        <v>681</v>
      </c>
      <c r="H1220" s="2" t="s">
        <v>681</v>
      </c>
      <c r="I1220" s="1">
        <v>30</v>
      </c>
      <c r="J1220" s="1">
        <v>15</v>
      </c>
      <c r="L1220" s="45">
        <f t="shared" si="105"/>
        <v>46251</v>
      </c>
      <c r="M1220" s="46">
        <f t="shared" si="106"/>
        <v>46251</v>
      </c>
      <c r="O1220" s="38"/>
      <c r="P1220" s="32"/>
      <c r="Q1220" s="43">
        <f t="shared" si="107"/>
        <v>0</v>
      </c>
      <c r="R1220" s="43">
        <f t="shared" ca="1" si="108"/>
        <v>0</v>
      </c>
      <c r="S1220" s="22"/>
      <c r="T1220" s="25">
        <v>46221</v>
      </c>
    </row>
  </sheetData>
  <autoFilter ref="A3:FR3" xr:uid="{36F041F7-7D95-4EEC-8252-094DC809FA2D}"/>
  <conditionalFormatting sqref="C4:C1048576 O4:O1048576 Q4:S1048576">
    <cfRule type="cellIs" dxfId="1" priority="3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SendAMS1">
                <anchor moveWithCells="1" sizeWithCells="1">
                  <from>
                    <xdr:col>1</xdr:col>
                    <xdr:colOff>1242060</xdr:colOff>
                    <xdr:row>1</xdr:row>
                    <xdr:rowOff>30480</xdr:rowOff>
                  </from>
                  <to>
                    <xdr:col>2</xdr:col>
                    <xdr:colOff>716280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SendAMS2">
                <anchor moveWithCells="1" sizeWithCells="1">
                  <from>
                    <xdr:col>1</xdr:col>
                    <xdr:colOff>1242060</xdr:colOff>
                    <xdr:row>1</xdr:row>
                    <xdr:rowOff>259080</xdr:rowOff>
                  </from>
                  <to>
                    <xdr:col>2</xdr:col>
                    <xdr:colOff>716280</xdr:colOff>
                    <xdr:row>1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utton 17">
              <controlPr defaultSize="0" print="0" autoFill="0" autoPict="0" macro="[0]!SendAMS3">
                <anchor moveWithCells="1" sizeWithCells="1">
                  <from>
                    <xdr:col>1</xdr:col>
                    <xdr:colOff>1242060</xdr:colOff>
                    <xdr:row>1</xdr:row>
                    <xdr:rowOff>480060</xdr:rowOff>
                  </from>
                  <to>
                    <xdr:col>2</xdr:col>
                    <xdr:colOff>716280</xdr:colOff>
                    <xdr:row>1</xdr:row>
                    <xdr:rowOff>670560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lessThanOrEqual" id="{0CBA9752-690E-49B0-B96A-44AF81BB10EB}">
            <xm:f>data!$F$4</xm:f>
            <x14:dxf>
              <fill>
                <patternFill>
                  <bgColor rgb="FFFFC000"/>
                </patternFill>
              </fill>
            </x14:dxf>
          </x14:cfRule>
          <xm:sqref>L4:L1220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3E91335-4893-47DF-BA71-3DB20DFE60DC}">
          <x14:formula1>
            <xm:f>data!$B$5:$B$6</xm:f>
          </x14:formula1>
          <xm:sqref>F4:F1220</xm:sqref>
        </x14:dataValidation>
        <x14:dataValidation type="list" allowBlank="1" showInputMessage="1" showErrorMessage="1" xr:uid="{FFDADF77-4A44-47E0-B1A9-D1D69F8D54E2}">
          <x14:formula1>
            <xm:f>data!$C$5:$C$6</xm:f>
          </x14:formula1>
          <xm:sqref>S1221:S1048576</xm:sqref>
        </x14:dataValidation>
        <x14:dataValidation type="list" allowBlank="1" showInputMessage="1" showErrorMessage="1" xr:uid="{42365F43-4653-4ACD-ABAA-451DDA1C4C1F}">
          <x14:formula1>
            <xm:f>data!$A$5:$A$6</xm:f>
          </x14:formula1>
          <xm:sqref>S4:S1220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D6A694-F4B0-4D4F-B0AA-44EE2DDB9F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health</vt:lpstr>
      <vt:lpstr>data</vt:lpstr>
      <vt:lpstr>UserInterface</vt:lpstr>
      <vt:lpstr>Allitems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Los Trinos, Richard</dc:creator>
  <cp:lastModifiedBy>Richard De los Trinos</cp:lastModifiedBy>
  <dcterms:created xsi:type="dcterms:W3CDTF">2023-06-05T05:21:24Z</dcterms:created>
  <dcterms:modified xsi:type="dcterms:W3CDTF">2023-06-27T13:13:29Z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c3caa80-b45a-41c4-be35-6a080a795a59_Enabled">
    <vt:lpwstr>true</vt:lpwstr>
  </property>
  <property fmtid="{D5CDD505-2E9C-101B-9397-08002B2CF9AE}" pid="3" name="MSIP_Label_ec3caa80-b45a-41c4-be35-6a080a795a59_SetDate">
    <vt:lpwstr>2023-06-05T05:33:25Z</vt:lpwstr>
  </property>
  <property fmtid="{D5CDD505-2E9C-101B-9397-08002B2CF9AE}" pid="4" name="MSIP_Label_ec3caa80-b45a-41c4-be35-6a080a795a59_Method">
    <vt:lpwstr>Privileged</vt:lpwstr>
  </property>
  <property fmtid="{D5CDD505-2E9C-101B-9397-08002B2CF9AE}" pid="5" name="MSIP_Label_ec3caa80-b45a-41c4-be35-6a080a795a59_Name">
    <vt:lpwstr>ec3caa80-b45a-41c4-be35-6a080a795a59</vt:lpwstr>
  </property>
  <property fmtid="{D5CDD505-2E9C-101B-9397-08002B2CF9AE}" pid="6" name="MSIP_Label_ec3caa80-b45a-41c4-be35-6a080a795a59_SiteId">
    <vt:lpwstr>fee2180b-69b6-4afe-9f14-ccd70bd4c737</vt:lpwstr>
  </property>
  <property fmtid="{D5CDD505-2E9C-101B-9397-08002B2CF9AE}" pid="7" name="MSIP_Label_ec3caa80-b45a-41c4-be35-6a080a795a59_ActionId">
    <vt:lpwstr>90527cb7-0911-4adb-a330-e38d5825a31c</vt:lpwstr>
  </property>
  <property fmtid="{D5CDD505-2E9C-101B-9397-08002B2CF9AE}" pid="8" name="MSIP_Label_ec3caa80-b45a-41c4-be35-6a080a795a59_ContentBits">
    <vt:lpwstr>0</vt:lpwstr>
  </property>
</Properties>
</file>